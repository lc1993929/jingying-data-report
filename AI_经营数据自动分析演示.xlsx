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507c5624ad4d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d48a98a431eb46dd"/>
    <x:sheet xmlns:r="http://schemas.openxmlformats.org/officeDocument/2006/relationships" name="原始订单" sheetId="2" r:id="R272742f7591541f1"/>
    <x:sheet xmlns:r="http://schemas.openxmlformats.org/officeDocument/2006/relationships" name="广告投入" sheetId="3" r:id="R831ab3fe6d42435f"/>
    <x:sheet xmlns:r="http://schemas.openxmlformats.org/officeDocument/2006/relationships" name="数据处理" sheetId="4" r:id="Raec6fe9110b74db3"/>
    <x:sheet xmlns:r="http://schemas.openxmlformats.org/officeDocument/2006/relationships" name="月度分析" sheetId="5" r:id="R3e9674f361844b57"/>
    <x:sheet xmlns:r="http://schemas.openxmlformats.org/officeDocument/2006/relationships" name="经营仪表盘" sheetId="6" r:id="R60dabfe5588b474c"/>
    <x:sheet xmlns:r="http://schemas.openxmlformats.org/officeDocument/2006/relationships" name="检查控制" sheetId="7" r:id="R469ee9dd42d74e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-dd"/>
    <x:numFmt numFmtId="201" formatCode="#,##0"/>
    <x:numFmt numFmtId="202" formatCode="0.0%"/>
    <x:numFmt numFmtId="203" formatCode="0"/>
    <x:numFmt numFmtId="204" formatCode="yyyy-mm"/>
    <x:numFmt numFmtId="205" formatCode="#,##0.00"/>
    <x:numFmt numFmtId="206" formatCode="0.00x"/>
    <x:numFmt numFmtId="207" formatCode="0.00"/>
  </x:numFmts>
  <x:fonts count="36">
    <x:font>
      <x:sz val="11"/>
      <x:name val="Carlito"/>
    </x:font>
    <x:font>
      <x:b/>
      <x:sz val="20"/>
      <x:color rgb="FFFFFFFF"/>
      <x:name val="Carlito"/>
    </x:font>
    <x:font>
      <x:sz val="10"/>
      <x:color rgb="FF66788A"/>
      <x:name val="Carlito"/>
    </x:font>
    <x:font>
      <x:b/>
      <x:sz val="12"/>
      <x:color rgb="FFFFFFFF"/>
      <x:name val="Carlito"/>
    </x:font>
    <x:font>
      <x:sz val="11"/>
      <x:color rgb="FF243447"/>
      <x:name val="Carlito"/>
    </x:font>
    <x:font>
      <x:b/>
      <x:sz val="10"/>
      <x:color rgb="FFFFFFFF"/>
      <x:name val="Carlito"/>
    </x:font>
    <x:font>
      <x:b/>
      <x:sz val="11"/>
      <x:color rgb="FF2A9D8F"/>
      <x:name val="Carlito"/>
    </x:font>
    <x:font>
      <x:sz val="9"/>
      <x:color rgb="FF243447"/>
      <x:name val="Carlito"/>
    </x:font>
    <x:font>
      <x:b/>
      <x:sz val="20"/>
      <x:color rgb="FFFFFFFF"/>
      <x:name val="Arial"/>
    </x:font>
    <x:font>
      <x:sz val="10"/>
      <x:color rgb="FF66788A"/>
      <x:name val="Arial"/>
    </x:font>
    <x:font>
      <x:sz val="11"/>
      <x:name val="Arial"/>
    </x:font>
    <x:font>
      <x:b/>
      <x:sz val="12"/>
      <x:color rgb="FFFFFFFF"/>
      <x:name val="Arial"/>
    </x:font>
    <x:font>
      <x:sz val="11"/>
      <x:color rgb="FF243447"/>
      <x:name val="Arial"/>
    </x:font>
    <x:font>
      <x:b/>
      <x:sz val="10"/>
      <x:color rgb="FFFFFFFF"/>
      <x:name val="Arial"/>
    </x:font>
    <x:font>
      <x:b/>
      <x:sz val="11"/>
      <x:color rgb="FF2A9D8F"/>
      <x:name val="Arial"/>
    </x:font>
    <x:font>
      <x:sz val="9"/>
      <x:color rgb="FF243447"/>
      <x:name val="Arial"/>
    </x:font>
    <x:font>
      <x:b/>
      <x:sz val="9"/>
      <x:color rgb="FF243447"/>
      <x:name val="Carlito"/>
    </x:font>
    <x:font>
      <x:b/>
      <x:sz val="9"/>
      <x:color rgb="FF66788A"/>
      <x:name val="Carlito"/>
    </x:font>
    <x:font>
      <x:b/>
      <x:sz val="18"/>
      <x:color rgb="FF2A9D8F"/>
      <x:name val="Carlito"/>
    </x:font>
    <x:font>
      <x:b/>
      <x:sz val="18"/>
      <x:color rgb="FF457B9D"/>
      <x:name val="Carlito"/>
    </x:font>
    <x:font>
      <x:b/>
      <x:sz val="18"/>
      <x:color rgb="FF243447"/>
      <x:name val="Carlito"/>
    </x:font>
    <x:font>
      <x:b/>
      <x:sz val="18"/>
      <x:color rgb="FFB42318"/>
      <x:name val="Carlito"/>
    </x:font>
    <x:font>
      <x:sz val="10"/>
      <x:color rgb="FF243447"/>
      <x:name val="Carlito"/>
    </x:font>
    <x:font>
      <x:b/>
      <x:sz val="10"/>
      <x:color rgb="FF243447"/>
      <x:name val="Carlito"/>
    </x:font>
    <x:font>
      <x:sz val="10"/>
      <x:color rgb="FF243447"/>
      <x:name val="Carlito"/>
    </x:font>
    <x:font>
      <x:b/>
      <x:sz val="14"/>
      <x:color rgb="FF2E7D32"/>
      <x:name val="Carlito"/>
    </x:font>
    <x:font>
      <x:b/>
      <x:sz val="9"/>
      <x:color rgb="FF243447"/>
      <x:name val="Arial"/>
    </x:font>
    <x:font>
      <x:b/>
      <x:sz val="9"/>
      <x:color rgb="FF66788A"/>
      <x:name val="Arial"/>
    </x:font>
    <x:font>
      <x:b/>
      <x:sz val="18"/>
      <x:color rgb="FF2A9D8F"/>
      <x:name val="Arial"/>
    </x:font>
    <x:font>
      <x:b/>
      <x:sz val="18"/>
      <x:color rgb="FF457B9D"/>
      <x:name val="Arial"/>
    </x:font>
    <x:font>
      <x:b/>
      <x:sz val="18"/>
      <x:color rgb="FF243447"/>
      <x:name val="Arial"/>
    </x:font>
    <x:font>
      <x:b/>
      <x:sz val="18"/>
      <x:color rgb="FFB42318"/>
      <x:name val="Arial"/>
    </x:font>
    <x:font>
      <x:sz val="10"/>
      <x:color rgb="FF243447"/>
      <x:name val="Arial"/>
    </x:font>
    <x:font>
      <x:b/>
      <x:sz val="10"/>
      <x:color rgb="FF243447"/>
      <x:name val="Arial"/>
    </x:font>
    <x:font>
      <x:sz val="10"/>
      <x:color rgb="FF243447"/>
      <x:name val="Arial"/>
    </x:font>
    <x:font>
      <x:b/>
      <x:sz val="14"/>
      <x:color rgb="FF2E7D32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4EEF5"/>
      </x:patternFill>
    </x:fill>
    <x:fill>
      <x:patternFill patternType="solid">
        <x:fgColor rgb="FFF5F7FA"/>
      </x:patternFill>
    </x:fill>
    <x:fill>
      <x:patternFill patternType="solid">
        <x:fgColor rgb="FF2A9D8F"/>
      </x:patternFill>
    </x:fill>
    <x:fill>
      <x:patternFill patternType="solid">
        <x:fgColor rgb="FFDDF3EF"/>
      </x:patternFill>
    </x:fill>
    <x:fill>
      <x:patternFill patternType="solid">
        <x:fgColor rgb="FFFFFFFF"/>
      </x:patternFill>
    </x:fill>
    <x:fill>
      <x:patternFill patternType="solid">
        <x:fgColor rgb="FFFFF4CC"/>
      </x:patternFill>
    </x:fill>
    <x:fill>
      <x:patternFill patternType="solid">
        <x:fgColor rgb="FFFCE4DE"/>
      </x:patternFill>
    </x:fill>
  </x:fills>
  <x:borders count="21">
    <x:border/>
    <x:border>
      <x:left style="thin">
        <x:color rgb="FFD8E0E8"/>
      </x:left>
      <x:top style="thin">
        <x:color rgb="FFD8E0E8"/>
      </x:top>
    </x:border>
    <x:border>
      <x:top style="thin">
        <x:color rgb="FFD8E0E8"/>
      </x:top>
    </x:border>
    <x:border>
      <x:right style="thin">
        <x:color rgb="FFD8E0E8"/>
      </x:right>
      <x:top style="thin">
        <x:color rgb="FFD8E0E8"/>
      </x:top>
    </x:border>
    <x:border>
      <x:left style="thin">
        <x:color rgb="FFD8E0E8"/>
      </x:left>
    </x:border>
    <x:border>
      <x:right style="thin">
        <x:color rgb="FFD8E0E8"/>
      </x:right>
    </x:border>
    <x:border>
      <x:left style="thin">
        <x:color rgb="FFD8E0E8"/>
      </x:left>
      <x:bottom style="thin">
        <x:color rgb="FFD8E0E8"/>
      </x:bottom>
    </x:border>
    <x:border>
      <x:bottom style="thin">
        <x:color rgb="FFD8E0E8"/>
      </x:bottom>
    </x:border>
    <x:border>
      <x:right style="thin">
        <x:color rgb="FFD8E0E8"/>
      </x:right>
      <x:bottom style="thin">
        <x:color rgb="FFD8E0E8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top style="thin">
        <x:color rgb="FFD8E0E8"/>
      </x:top>
      <x:bottom style="thin">
        <x:color rgb="FFD8E0E8"/>
      </x:bottom>
    </x:border>
    <x:border>
      <x:left style="thin">
        <x:color rgb="FFFFFFFF"/>
      </x:left>
      <x:right style="thin">
        <x:color rgb="FFFFFFFF"/>
      </x:right>
    </x:border>
    <x:border>
      <x:left style="thin">
        <x:color rgb="FFD8E0E8"/>
      </x:left>
      <x:right style="thin">
        <x:color rgb="FFD8E0E8"/>
      </x:right>
      <x:bottom style="thin">
        <x:color rgb="FFD8E0E8"/>
      </x:bottom>
    </x:border>
    <x:border>
      <x:right style="thin">
        <x:color rgb="FFD8E0E8"/>
      </x:right>
      <x:top style="thin">
        <x:color rgb="FFD8E0E8"/>
      </x:top>
      <x:bottom style="thin">
        <x:color rgb="FFD8E0E8"/>
      </x:bottom>
    </x:border>
    <x:border>
      <x:left style="thin">
        <x:color rgb="FFD8E0E8"/>
      </x:left>
      <x:right style="thin">
        <x:color rgb="FFD8E0E8"/>
      </x:right>
      <x:top style="thin">
        <x:color rgb="FFD8E0E8"/>
      </x:top>
      <x:bottom style="thin">
        <x:color rgb="FFD8E0E8"/>
      </x:bottom>
    </x:border>
    <x:border>
      <x:left style="thin">
        <x:color rgb="FFD8E0E8"/>
      </x:left>
      <x:top style="thin">
        <x:color rgb="FFD8E0E8"/>
      </x:top>
      <x:bottom style="thin">
        <x:color rgb="FFD8E0E8"/>
      </x:bottom>
    </x:border>
    <x:border>
      <x:left style="thin">
        <x:color rgb="FFD8E0E8"/>
      </x:left>
      <x:right style="thin">
        <x:color rgb="FFD8E0E8"/>
      </x:right>
      <x:top style="thin">
        <x:color rgb="FFD8E0E8"/>
      </x:top>
    </x:border>
    <x:border>
      <x:left style="medium">
        <x:color rgb="FF2A9D8F"/>
      </x:left>
      <x:top style="medium">
        <x:color rgb="FF2A9D8F"/>
      </x:top>
      <x:bottom style="medium">
        <x:color rgb="FF2A9D8F"/>
      </x:bottom>
    </x:border>
    <x:border>
      <x:top style="medium">
        <x:color rgb="FF2A9D8F"/>
      </x:top>
      <x:bottom style="medium">
        <x:color rgb="FF2A9D8F"/>
      </x:bottom>
    </x:border>
    <x:border>
      <x:right style="medium">
        <x:color rgb="FF2A9D8F"/>
      </x:right>
      <x:top style="medium">
        <x:color rgb="FF2A9D8F"/>
      </x:top>
      <x:bottom style="medium">
        <x:color rgb="FF2A9D8F"/>
      </x:bottom>
    </x:border>
  </x:borders>
  <x:cellStyleXfs count="1">
    <x:xf numFmtId="0" fontId="0" fillId="0" borderId="0"/>
  </x:cellStyleXfs>
  <x:cellXfs count="5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vertical="center" wrapText="1"/>
    </x:xf>
    <x:xf numFmtId="0" fontId="4" fillId="4" borderId="7" xfId="0" applyNumberFormat="1" applyFont="1" applyFill="1" applyBorder="1" applyAlignment="1">
      <x:alignment vertical="center" wrapText="1"/>
    </x:xf>
    <x:xf numFmtId="0" fontId="4" fillId="4" borderId="8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horizontal="center" wrapText="1"/>
    </x:xf>
    <x:xf numFmtId="0" fontId="5" fillId="5" borderId="10" xfId="0" applyNumberFormat="1" applyFont="1" applyFill="1" applyBorder="1" applyAlignment="1">
      <x:alignment horizontal="center" wrapText="1"/>
    </x:xf>
    <x:xf numFmtId="0" fontId="5" fillId="5" borderId="9" xfId="0" applyNumberFormat="1" applyFont="1" applyFill="1" applyBorder="1" applyAlignment="1">
      <x:alignment horizontal="center" vertical="center" wrapText="1"/>
    </x:xf>
    <x:xf numFmtId="0" fontId="5" fillId="5" borderId="1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7" xfId="0" applyNumberFormat="1" applyFont="1" applyFill="1" applyBorder="1"/>
    <x:xf numFmtId="0" fontId="4" fillId="7" borderId="11" xfId="0" applyNumberFormat="1" applyFont="1" applyFill="1" applyBorder="1"/>
    <x:xf numFmtId="0" fontId="4" fillId="7" borderId="2" xfId="0" applyNumberFormat="1" applyFont="1" applyFill="1" applyBorder="1"/>
    <x:xf numFmtId="0" fontId="4" fillId="7" borderId="7" xfId="0" applyNumberFormat="1" applyFont="1" applyFill="1" applyBorder="1" applyAlignment="1">
      <x:alignment wrapText="1"/>
    </x:xf>
    <x:xf numFmtId="0" fontId="4" fillId="7" borderId="11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wrapText="1"/>
    </x:xf>
    <x:xf numFmtId="0" fontId="4" fillId="7" borderId="7" xfId="0" applyNumberFormat="1" applyFont="1" applyFill="1" applyBorder="1" applyAlignment="1">
      <x:alignment vertical="center" wrapText="1"/>
    </x:xf>
    <x:xf numFmtId="0" fontId="4" fillId="7" borderId="11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5" fillId="5" borderId="12" xfId="0" applyNumberFormat="1" applyFont="1" applyFill="1" applyBorder="1"/>
    <x:xf numFmtId="0" fontId="5" fillId="5" borderId="12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horizontal="center" wrapText="1"/>
    </x:xf>
    <x:xf numFmtId="0" fontId="5" fillId="5" borderId="12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/>
    <x:xf numFmtId="0" fontId="7" fillId="7" borderId="8" xfId="0" applyNumberFormat="1" applyFont="1" applyFill="1" applyBorder="1"/>
    <x:xf numFmtId="0" fontId="7" fillId="7" borderId="13" xfId="0" applyNumberFormat="1" applyFont="1" applyFill="1" applyBorder="1"/>
    <x:xf numFmtId="0" fontId="7" fillId="7" borderId="6" xfId="0" applyNumberFormat="1" applyFont="1" applyFill="1" applyBorder="1"/>
    <x:xf numFmtId="0" fontId="7" fillId="7" borderId="14" xfId="0" applyNumberFormat="1" applyFont="1" applyFill="1" applyBorder="1"/>
    <x:xf numFmtId="0" fontId="7" fillId="7" borderId="15" xfId="0" applyNumberFormat="1" applyFont="1" applyFill="1" applyBorder="1"/>
    <x:xf numFmtId="0" fontId="7" fillId="7" borderId="16" xfId="0" applyNumberFormat="1" applyFont="1" applyFill="1" applyBorder="1"/>
    <x:xf numFmtId="0" fontId="7" fillId="7" borderId="3" xfId="0" applyNumberFormat="1" applyFont="1" applyFill="1" applyBorder="1"/>
    <x:xf numFmtId="0" fontId="7" fillId="7" borderId="17" xfId="0" applyNumberFormat="1" applyFont="1" applyFill="1" applyBorder="1"/>
    <x:xf numFmtId="0" fontId="7" fillId="7" borderId="1" xfId="0" applyNumberFormat="1" applyFont="1" applyFill="1" applyBorder="1"/>
    <x:xf numFmtId="0" fontId="7" fillId="7" borderId="8" xfId="0" applyNumberFormat="1" applyFont="1" applyFill="1" applyBorder="1" applyAlignment="1">
      <x:alignment wrapText="1"/>
    </x:xf>
    <x:xf numFmtId="0" fontId="7" fillId="7" borderId="13" xfId="0" applyNumberFormat="1" applyFont="1" applyFill="1" applyBorder="1" applyAlignment="1">
      <x:alignment wrapText="1"/>
    </x:xf>
    <x:xf numFmtId="0" fontId="7" fillId="7" borderId="6" xfId="0" applyNumberFormat="1" applyFont="1" applyFill="1" applyBorder="1" applyAlignment="1">
      <x:alignment wrapText="1"/>
    </x:xf>
    <x:xf numFmtId="0" fontId="7" fillId="7" borderId="14" xfId="0" applyNumberFormat="1" applyFont="1" applyFill="1" applyBorder="1" applyAlignment="1">
      <x:alignment wrapText="1"/>
    </x:xf>
    <x:xf numFmtId="0" fontId="7" fillId="7" borderId="15" xfId="0" applyNumberFormat="1" applyFont="1" applyFill="1" applyBorder="1" applyAlignment="1">
      <x:alignment wrapText="1"/>
    </x:xf>
    <x:xf numFmtId="0" fontId="7" fillId="7" borderId="16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0" fontId="7" fillId="7" borderId="17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wrapText="1"/>
    </x:xf>
    <x:xf numFmtId="0" fontId="7" fillId="7" borderId="8" xfId="0" applyNumberFormat="1" applyFont="1" applyFill="1" applyBorder="1" applyAlignment="1">
      <x:alignment vertical="center" wrapText="1"/>
    </x:xf>
    <x:xf numFmtId="0" fontId="7" fillId="7" borderId="13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7" fillId="7" borderId="14" xfId="0" applyNumberFormat="1" applyFont="1" applyFill="1" applyBorder="1" applyAlignment="1">
      <x:alignment vertical="center" wrapText="1"/>
    </x:xf>
    <x:xf numFmtId="0" fontId="7" fillId="7" borderId="15" xfId="0" applyNumberFormat="1" applyFont="1" applyFill="1" applyBorder="1" applyAlignment="1">
      <x:alignment vertical="center" wrapText="1"/>
    </x:xf>
    <x:xf numFmtId="0" fontId="7" fillId="7" borderId="16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7" fillId="7" borderId="17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7" fillId="8" borderId="15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3" borderId="0" xfId="0" applyNumberFormat="1" applyFont="1" applyFill="1" applyBorder="1" applyAlignment="1">
      <x:alignment horizontal="left" vertical="center"/>
    </x:xf>
    <x:xf numFmtId="0" fontId="10" fillId="0" borderId="0" xfId="0" applyNumberFormat="1" applyFont="1" applyFill="1" applyBorder="1"/>
    <x:xf numFmtId="0" fontId="11" fillId="2" borderId="0" xfId="0" applyNumberFormat="1" applyFont="1" applyFill="1" applyBorder="1" applyAlignment="1">
      <x:alignment horizontal="left" vertical="center"/>
    </x:xf>
    <x:xf numFmtId="0" fontId="12" fillId="4" borderId="1" xfId="0" applyNumberFormat="1" applyFont="1" applyFill="1" applyBorder="1" applyAlignment="1">
      <x:alignment vertical="center" wrapText="1"/>
    </x:xf>
    <x:xf numFmtId="0" fontId="12" fillId="4" borderId="2" xfId="0" applyNumberFormat="1" applyFont="1" applyFill="1" applyBorder="1" applyAlignment="1">
      <x:alignment vertical="center" wrapText="1"/>
    </x:xf>
    <x:xf numFmtId="0" fontId="12" fillId="4" borderId="3" xfId="0" applyNumberFormat="1" applyFont="1" applyFill="1" applyBorder="1" applyAlignment="1">
      <x:alignment vertical="center" wrapText="1"/>
    </x:xf>
    <x:xf numFmtId="0" fontId="12" fillId="4" borderId="4" xfId="0" applyNumberFormat="1" applyFont="1" applyFill="1" applyBorder="1" applyAlignment="1">
      <x:alignment vertical="center" wrapText="1"/>
    </x:xf>
    <x:xf numFmtId="0" fontId="12" fillId="4" borderId="0" xfId="0" applyNumberFormat="1" applyFont="1" applyFill="1" applyBorder="1" applyAlignment="1">
      <x:alignment vertical="center" wrapText="1"/>
    </x:xf>
    <x:xf numFmtId="0" fontId="12" fillId="4" borderId="5" xfId="0" applyNumberFormat="1" applyFont="1" applyFill="1" applyBorder="1" applyAlignment="1">
      <x:alignment vertical="center" wrapText="1"/>
    </x:xf>
    <x:xf numFmtId="0" fontId="12" fillId="4" borderId="6" xfId="0" applyNumberFormat="1" applyFont="1" applyFill="1" applyBorder="1" applyAlignment="1">
      <x:alignment vertical="center" wrapText="1"/>
    </x:xf>
    <x:xf numFmtId="0" fontId="12" fillId="4" borderId="7" xfId="0" applyNumberFormat="1" applyFont="1" applyFill="1" applyBorder="1" applyAlignment="1">
      <x:alignment vertical="center" wrapText="1"/>
    </x:xf>
    <x:xf numFmtId="0" fontId="12" fillId="4" borderId="8" xfId="0" applyNumberFormat="1" applyFont="1" applyFill="1" applyBorder="1" applyAlignment="1">
      <x:alignment vertical="center" wrapText="1"/>
    </x:xf>
    <x:xf numFmtId="0" fontId="13" fillId="5" borderId="9" xfId="0" applyNumberFormat="1" applyFont="1" applyFill="1" applyBorder="1" applyAlignment="1">
      <x:alignment horizontal="center" vertical="center" wrapText="1"/>
    </x:xf>
    <x:xf numFmtId="0" fontId="13" fillId="5" borderId="10" xfId="0" applyNumberFormat="1" applyFont="1" applyFill="1" applyBorder="1" applyAlignment="1">
      <x:alignment horizontal="center" vertical="center" wrapText="1"/>
    </x:xf>
    <x:xf numFmtId="0" fontId="13" fillId="5" borderId="12" xfId="0" applyNumberFormat="1" applyFont="1" applyFill="1" applyBorder="1" applyAlignment="1">
      <x:alignment horizontal="center" vertical="center" wrapText="1"/>
    </x:xf>
    <x:xf numFmtId="0" fontId="14" fillId="6" borderId="0" xfId="0" applyNumberFormat="1" applyFont="1" applyFill="1" applyBorder="1" applyAlignment="1">
      <x:alignment horizontal="center" vertical="center"/>
    </x:xf>
    <x:xf numFmtId="0" fontId="12" fillId="7" borderId="7" xfId="0" applyNumberFormat="1" applyFont="1" applyFill="1" applyBorder="1" applyAlignment="1">
      <x:alignment vertical="center" wrapText="1"/>
    </x:xf>
    <x:xf numFmtId="0" fontId="15" fillId="7" borderId="8" xfId="0" applyNumberFormat="1" applyFont="1" applyFill="1" applyBorder="1" applyAlignment="1">
      <x:alignment vertical="center" wrapText="1"/>
    </x:xf>
    <x:xf numFmtId="0" fontId="15" fillId="7" borderId="13" xfId="0" applyNumberFormat="1" applyFont="1" applyFill="1" applyBorder="1" applyAlignment="1">
      <x:alignment vertical="center" wrapText="1"/>
    </x:xf>
    <x:xf numFmtId="0" fontId="15" fillId="7" borderId="6" xfId="0" applyNumberFormat="1" applyFont="1" applyFill="1" applyBorder="1" applyAlignment="1">
      <x:alignment vertical="center" wrapText="1"/>
    </x:xf>
    <x:xf numFmtId="0" fontId="12" fillId="7" borderId="11" xfId="0" applyNumberFormat="1" applyFont="1" applyFill="1" applyBorder="1" applyAlignment="1">
      <x:alignment vertical="center" wrapText="1"/>
    </x:xf>
    <x:xf numFmtId="0" fontId="15" fillId="7" borderId="14" xfId="0" applyNumberFormat="1" applyFont="1" applyFill="1" applyBorder="1" applyAlignment="1">
      <x:alignment vertical="center" wrapText="1"/>
    </x:xf>
    <x:xf numFmtId="0" fontId="15" fillId="7" borderId="15" xfId="0" applyNumberFormat="1" applyFont="1" applyFill="1" applyBorder="1" applyAlignment="1">
      <x:alignment vertical="center" wrapText="1"/>
    </x:xf>
    <x:xf numFmtId="0" fontId="15" fillId="7" borderId="16" xfId="0" applyNumberFormat="1" applyFont="1" applyFill="1" applyBorder="1" applyAlignment="1">
      <x:alignment vertical="center" wrapText="1"/>
    </x:xf>
    <x:xf numFmtId="0" fontId="12" fillId="7" borderId="2" xfId="0" applyNumberFormat="1" applyFont="1" applyFill="1" applyBorder="1" applyAlignment="1">
      <x:alignment vertical="center" wrapText="1"/>
    </x:xf>
    <x:xf numFmtId="0" fontId="15" fillId="8" borderId="15" xfId="0" applyNumberFormat="1" applyFont="1" applyFill="1" applyBorder="1" applyAlignment="1">
      <x:alignment vertical="center" wrapText="1"/>
    </x:xf>
    <x:xf numFmtId="0" fontId="15" fillId="7" borderId="3" xfId="0" applyNumberFormat="1" applyFont="1" applyFill="1" applyBorder="1" applyAlignment="1">
      <x:alignment vertical="center" wrapText="1"/>
    </x:xf>
    <x:xf numFmtId="0" fontId="15" fillId="7" borderId="17" xfId="0" applyNumberFormat="1" applyFont="1" applyFill="1" applyBorder="1" applyAlignment="1">
      <x:alignment vertical="center" wrapText="1"/>
    </x:xf>
    <x:xf numFmtId="0" fontId="15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7" xfId="0" applyNumberFormat="1" applyFont="1" applyFill="1" applyBorder="1"/>
    <x:xf numFmtId="0" fontId="7" fillId="8" borderId="11" xfId="0" applyNumberFormat="1" applyFont="1" applyFill="1" applyBorder="1"/>
    <x:xf numFmtId="0" fontId="7" fillId="8" borderId="2" xfId="0" applyNumberFormat="1" applyFont="1" applyFill="1" applyBorder="1"/>
    <x:xf numFmtId="0" fontId="7" fillId="8" borderId="7" xfId="0" applyNumberFormat="1" applyFont="1" applyFill="1" applyBorder="1" applyAlignment="1">
      <x:alignment vertical="center"/>
    </x:xf>
    <x:xf numFmtId="0" fontId="7" fillId="8" borderId="11" xfId="0" applyNumberFormat="1" applyFont="1" applyFill="1" applyBorder="1" applyAlignment="1">
      <x:alignment vertical="center"/>
    </x:xf>
    <x:xf numFmtId="0" fontId="7" fillId="8" borderId="2" xfId="0" applyNumberFormat="1" applyFont="1" applyFill="1" applyBorder="1" applyAlignment="1">
      <x:alignment vertical="center"/>
    </x:xf>
    <x:xf numFmtId="200" fontId="7" fillId="8" borderId="7" xfId="0" applyNumberFormat="1" applyFont="1" applyFill="1" applyBorder="1" applyAlignment="1">
      <x:alignment vertical="center"/>
    </x:xf>
    <x:xf numFmtId="200" fontId="7" fillId="8" borderId="11" xfId="0" applyNumberFormat="1" applyFont="1" applyFill="1" applyBorder="1" applyAlignment="1">
      <x:alignment vertical="center"/>
    </x:xf>
    <x:xf numFmtId="200" fontId="7" fillId="8" borderId="2" xfId="0" applyNumberFormat="1" applyFont="1" applyFill="1" applyBorder="1" applyAlignment="1">
      <x:alignment vertical="center"/>
    </x:xf>
    <x:xf numFmtId="201" fontId="7" fillId="8" borderId="7" xfId="0" applyNumberFormat="1" applyFont="1" applyFill="1" applyBorder="1" applyAlignment="1">
      <x:alignment vertical="center"/>
    </x:xf>
    <x:xf numFmtId="201" fontId="7" fillId="8" borderId="11" xfId="0" applyNumberFormat="1" applyFont="1" applyFill="1" applyBorder="1" applyAlignment="1">
      <x:alignment vertical="center"/>
    </x:xf>
    <x:xf numFmtId="201" fontId="7" fillId="8" borderId="2" xfId="0" applyNumberFormat="1" applyFont="1" applyFill="1" applyBorder="1" applyAlignment="1">
      <x:alignment vertical="center"/>
    </x:xf>
    <x:xf numFmtId="202" fontId="7" fillId="8" borderId="7" xfId="0" applyNumberFormat="1" applyFont="1" applyFill="1" applyBorder="1" applyAlignment="1">
      <x:alignment vertical="center"/>
    </x:xf>
    <x:xf numFmtId="202" fontId="7" fillId="8" borderId="11" xfId="0" applyNumberFormat="1" applyFont="1" applyFill="1" applyBorder="1" applyAlignment="1">
      <x:alignment vertical="center"/>
    </x:xf>
    <x:xf numFmtId="202" fontId="7" fillId="8" borderId="2" xfId="0" applyNumberFormat="1" applyFont="1" applyFill="1" applyBorder="1" applyAlignment="1">
      <x:alignment vertical="center"/>
    </x:xf>
    <x:xf numFmtId="203" fontId="7" fillId="8" borderId="7" xfId="0" applyNumberFormat="1" applyFont="1" applyFill="1" applyBorder="1" applyAlignment="1">
      <x:alignment vertical="center"/>
    </x:xf>
    <x:xf numFmtId="203" fontId="7" fillId="8" borderId="11" xfId="0" applyNumberFormat="1" applyFont="1" applyFill="1" applyBorder="1" applyAlignment="1">
      <x:alignment vertical="center"/>
    </x:xf>
    <x:xf numFmtId="203" fontId="7" fillId="8" borderId="2" xfId="0" applyNumberFormat="1" applyFont="1" applyFill="1" applyBorder="1" applyAlignment="1">
      <x:alignment vertical="center"/>
    </x:xf>
    <x:xf numFmtId="204" fontId="7" fillId="8" borderId="7" xfId="0" applyNumberFormat="1" applyFont="1" applyFill="1" applyBorder="1" applyAlignment="1">
      <x:alignment vertical="center"/>
    </x:xf>
    <x:xf numFmtId="204" fontId="7" fillId="8" borderId="11" xfId="0" applyNumberFormat="1" applyFont="1" applyFill="1" applyBorder="1" applyAlignment="1">
      <x:alignment vertical="center"/>
    </x:xf>
    <x:xf numFmtId="204" fontId="7" fillId="8" borderId="2" xfId="0" applyNumberFormat="1" applyFont="1" applyFill="1" applyBorder="1" applyAlignment="1">
      <x:alignment vertical="center"/>
    </x:xf>
    <x:xf numFmtId="0" fontId="7" fillId="7" borderId="7" xfId="0" applyNumberFormat="1" applyFont="1" applyFill="1" applyBorder="1"/>
    <x:xf numFmtId="0" fontId="7" fillId="7" borderId="11" xfId="0" applyNumberFormat="1" applyFont="1" applyFill="1" applyBorder="1"/>
    <x:xf numFmtId="0" fontId="7" fillId="7" borderId="2" xfId="0" applyNumberFormat="1" applyFont="1" applyFill="1" applyBorder="1"/>
    <x:xf numFmtId="0" fontId="7" fillId="7" borderId="7" xfId="0" applyNumberFormat="1" applyFont="1" applyFill="1" applyBorder="1" applyAlignment="1">
      <x:alignment vertical="center"/>
    </x:xf>
    <x:xf numFmtId="0" fontId="7" fillId="7" borderId="11" xfId="0" applyNumberFormat="1" applyFont="1" applyFill="1" applyBorder="1" applyAlignment="1">
      <x:alignment vertical="center"/>
    </x:xf>
    <x:xf numFmtId="0" fontId="7" fillId="7" borderId="2" xfId="0" applyNumberFormat="1" applyFont="1" applyFill="1" applyBorder="1" applyAlignment="1">
      <x:alignment vertical="center"/>
    </x:xf>
    <x:xf numFmtId="200" fontId="7" fillId="7" borderId="7" xfId="0" applyNumberFormat="1" applyFont="1" applyFill="1" applyBorder="1" applyAlignment="1">
      <x:alignment vertical="center"/>
    </x:xf>
    <x:xf numFmtId="200" fontId="7" fillId="7" borderId="11" xfId="0" applyNumberFormat="1" applyFont="1" applyFill="1" applyBorder="1" applyAlignment="1">
      <x:alignment vertical="center"/>
    </x:xf>
    <x:xf numFmtId="200" fontId="7" fillId="7" borderId="2" xfId="0" applyNumberFormat="1" applyFont="1" applyFill="1" applyBorder="1" applyAlignment="1">
      <x:alignment vertical="center"/>
    </x:xf>
    <x:xf numFmtId="204" fontId="7" fillId="7" borderId="7" xfId="0" applyNumberFormat="1" applyFont="1" applyFill="1" applyBorder="1" applyAlignment="1">
      <x:alignment vertical="center"/>
    </x:xf>
    <x:xf numFmtId="204" fontId="7" fillId="7" borderId="11" xfId="0" applyNumberFormat="1" applyFont="1" applyFill="1" applyBorder="1" applyAlignment="1">
      <x:alignment vertical="center"/>
    </x:xf>
    <x:xf numFmtId="204" fontId="7" fillId="7" borderId="2" xfId="0" applyNumberFormat="1" applyFont="1" applyFill="1" applyBorder="1" applyAlignment="1">
      <x:alignment vertical="center"/>
    </x:xf>
    <x:xf numFmtId="201" fontId="7" fillId="7" borderId="7" xfId="0" applyNumberFormat="1" applyFont="1" applyFill="1" applyBorder="1" applyAlignment="1">
      <x:alignment vertical="center"/>
    </x:xf>
    <x:xf numFmtId="201" fontId="7" fillId="7" borderId="11" xfId="0" applyNumberFormat="1" applyFont="1" applyFill="1" applyBorder="1" applyAlignment="1">
      <x:alignment vertical="center"/>
    </x:xf>
    <x:xf numFmtId="201" fontId="7" fillId="7" borderId="2" xfId="0" applyNumberFormat="1" applyFont="1" applyFill="1" applyBorder="1" applyAlignment="1">
      <x:alignment vertical="center"/>
    </x:xf>
    <x:xf numFmtId="202" fontId="7" fillId="7" borderId="7" xfId="0" applyNumberFormat="1" applyFont="1" applyFill="1" applyBorder="1" applyAlignment="1">
      <x:alignment vertical="center"/>
    </x:xf>
    <x:xf numFmtId="202" fontId="7" fillId="7" borderId="11" xfId="0" applyNumberFormat="1" applyFont="1" applyFill="1" applyBorder="1" applyAlignment="1">
      <x:alignment vertical="center"/>
    </x:xf>
    <x:xf numFmtId="202" fontId="7" fillId="7" borderId="2" xfId="0" applyNumberFormat="1" applyFont="1" applyFill="1" applyBorder="1" applyAlignment="1">
      <x:alignment vertical="center"/>
    </x:xf>
    <x:xf numFmtId="203" fontId="7" fillId="7" borderId="7" xfId="0" applyNumberFormat="1" applyFont="1" applyFill="1" applyBorder="1" applyAlignment="1">
      <x:alignment vertical="center"/>
    </x:xf>
    <x:xf numFmtId="203" fontId="7" fillId="7" borderId="11" xfId="0" applyNumberFormat="1" applyFont="1" applyFill="1" applyBorder="1" applyAlignment="1">
      <x:alignment vertical="center"/>
    </x:xf>
    <x:xf numFmtId="203" fontId="7" fillId="7" borderId="2" xfId="0" applyNumberFormat="1" applyFont="1" applyFill="1" applyBorder="1" applyAlignment="1">
      <x:alignment vertical="center"/>
    </x:xf>
    <x:xf numFmtId="205" fontId="7" fillId="7" borderId="7" xfId="0" applyNumberFormat="1" applyFont="1" applyFill="1" applyBorder="1" applyAlignment="1">
      <x:alignment vertical="center"/>
    </x:xf>
    <x:xf numFmtId="205" fontId="7" fillId="7" borderId="11" xfId="0" applyNumberFormat="1" applyFont="1" applyFill="1" applyBorder="1" applyAlignment="1">
      <x:alignment vertical="center"/>
    </x:xf>
    <x:xf numFmtId="205" fontId="7" fillId="7" borderId="2" xfId="0" applyNumberFormat="1" applyFont="1" applyFill="1" applyBorder="1" applyAlignment="1">
      <x:alignment vertical="center"/>
    </x:xf>
    <x:xf numFmtId="204" fontId="5" fillId="5" borderId="12" xfId="0" applyNumberFormat="1" applyFont="1" applyFill="1" applyBorder="1" applyAlignment="1">
      <x:alignment horizontal="center" vertical="center" wrapText="1"/>
    </x:xf>
    <x:xf numFmtId="0" fontId="16" fillId="7" borderId="7" xfId="0" applyNumberFormat="1" applyFont="1" applyFill="1" applyBorder="1"/>
    <x:xf numFmtId="0" fontId="16" fillId="7" borderId="11" xfId="0" applyNumberFormat="1" applyFont="1" applyFill="1" applyBorder="1"/>
    <x:xf numFmtId="0" fontId="16" fillId="7" borderId="2" xfId="0" applyNumberFormat="1" applyFont="1" applyFill="1" applyBorder="1"/>
    <x:xf numFmtId="201" fontId="7" fillId="7" borderId="7" xfId="0" applyNumberFormat="1" applyFont="1" applyFill="1" applyBorder="1"/>
    <x:xf numFmtId="201" fontId="7" fillId="7" borderId="11" xfId="0" applyNumberFormat="1" applyFont="1" applyFill="1" applyBorder="1"/>
    <x:xf numFmtId="202" fontId="7" fillId="7" borderId="11" xfId="0" applyNumberFormat="1" applyFont="1" applyFill="1" applyBorder="1"/>
    <x:xf numFmtId="206" fontId="7" fillId="7" borderId="11" xfId="0" applyNumberFormat="1" applyFont="1" applyFill="1" applyBorder="1"/>
    <x:xf numFmtId="201" fontId="7" fillId="7" borderId="2" xfId="0" applyNumberFormat="1" applyFont="1" applyFill="1" applyBorder="1"/>
    <x:xf numFmtId="201" fontId="7" fillId="3" borderId="7" xfId="0" applyNumberFormat="1" applyFont="1" applyFill="1" applyBorder="1"/>
    <x:xf numFmtId="201" fontId="7" fillId="3" borderId="11" xfId="0" applyNumberFormat="1" applyFont="1" applyFill="1" applyBorder="1"/>
    <x:xf numFmtId="202" fontId="7" fillId="3" borderId="11" xfId="0" applyNumberFormat="1" applyFont="1" applyFill="1" applyBorder="1"/>
    <x:xf numFmtId="206" fontId="7" fillId="3" borderId="11" xfId="0" applyNumberFormat="1" applyFont="1" applyFill="1" applyBorder="1"/>
    <x:xf numFmtId="201" fontId="7" fillId="3" borderId="2" xfId="0" applyNumberFormat="1" applyFont="1" applyFill="1" applyBorder="1"/>
    <x:xf numFmtId="201" fontId="16" fillId="3" borderId="7" xfId="0" applyNumberFormat="1" applyFont="1" applyFill="1" applyBorder="1"/>
    <x:xf numFmtId="201" fontId="16" fillId="3" borderId="11" xfId="0" applyNumberFormat="1" applyFont="1" applyFill="1" applyBorder="1"/>
    <x:xf numFmtId="202" fontId="16" fillId="3" borderId="11" xfId="0" applyNumberFormat="1" applyFont="1" applyFill="1" applyBorder="1"/>
    <x:xf numFmtId="206" fontId="16" fillId="3" borderId="11" xfId="0" applyNumberFormat="1" applyFont="1" applyFill="1" applyBorder="1"/>
    <x:xf numFmtId="201" fontId="16" fillId="3" borderId="2" xfId="0" applyNumberFormat="1" applyFont="1" applyFill="1" applyBorder="1"/>
    <x:xf numFmtId="202" fontId="7" fillId="7" borderId="7" xfId="0" applyNumberFormat="1" applyFont="1" applyFill="1" applyBorder="1"/>
    <x:xf numFmtId="202" fontId="7" fillId="7" borderId="2" xfId="0" applyNumberFormat="1" applyFont="1" applyFill="1" applyBorder="1"/>
    <x:xf numFmtId="206" fontId="7" fillId="7" borderId="7" xfId="0" applyNumberFormat="1" applyFont="1" applyFill="1" applyBorder="1"/>
    <x:xf numFmtId="206" fontId="7" fillId="7" borderId="2" xfId="0" applyNumberFormat="1" applyFont="1" applyFill="1" applyBorder="1"/>
    <x:xf numFmtId="0" fontId="7" fillId="4" borderId="0" xfId="0" applyNumberFormat="1" applyFont="1" applyFill="1" applyBorder="1"/>
    <x:xf numFmtId="201" fontId="7" fillId="4" borderId="0" xfId="0" applyNumberFormat="1" applyFont="1" applyFill="1" applyBorder="1"/>
    <x:xf numFmtId="0" fontId="17" fillId="6" borderId="0" xfId="0" applyNumberFormat="1" applyFont="1" applyFill="1" applyBorder="1"/>
    <x:xf numFmtId="0" fontId="17" fillId="6" borderId="16" xfId="0" applyNumberFormat="1" applyFont="1" applyFill="1" applyBorder="1"/>
    <x:xf numFmtId="0" fontId="17" fillId="6" borderId="11" xfId="0" applyNumberFormat="1" applyFont="1" applyFill="1" applyBorder="1"/>
    <x:xf numFmtId="0" fontId="17" fillId="6" borderId="14" xfId="0" applyNumberFormat="1" applyFont="1" applyFill="1" applyBorder="1"/>
    <x:xf numFmtId="0" fontId="17" fillId="6" borderId="16" xfId="0" applyNumberFormat="1" applyFont="1" applyFill="1" applyBorder="1" applyAlignment="1">
      <x:alignment horizontal="center"/>
    </x:xf>
    <x:xf numFmtId="0" fontId="17" fillId="6" borderId="11" xfId="0" applyNumberFormat="1" applyFont="1" applyFill="1" applyBorder="1" applyAlignment="1">
      <x:alignment horizontal="center"/>
    </x:xf>
    <x:xf numFmtId="0" fontId="17" fillId="6" borderId="14" xfId="0" applyNumberFormat="1" applyFont="1" applyFill="1" applyBorder="1" applyAlignment="1">
      <x:alignment horizontal="center"/>
    </x:xf>
    <x:xf numFmtId="0" fontId="17" fillId="6" borderId="16" xfId="0" applyNumberFormat="1" applyFont="1" applyFill="1" applyBorder="1" applyAlignment="1">
      <x:alignment horizontal="center" vertical="center"/>
    </x:xf>
    <x:xf numFmtId="0" fontId="17" fillId="6" borderId="11" xfId="0" applyNumberFormat="1" applyFont="1" applyFill="1" applyBorder="1" applyAlignment="1">
      <x:alignment horizontal="center" vertical="center"/>
    </x:xf>
    <x:xf numFmtId="0" fontId="17" fillId="6" borderId="14" xfId="0" applyNumberFormat="1" applyFont="1" applyFill="1" applyBorder="1" applyAlignment="1">
      <x:alignment horizontal="center" vertical="center"/>
    </x:xf>
    <x:xf numFmtId="0" fontId="18" fillId="6" borderId="0" xfId="0" applyNumberFormat="1" applyFont="1" applyFill="1" applyBorder="1"/>
    <x:xf numFmtId="0" fontId="18" fillId="6" borderId="1" xfId="0" applyNumberFormat="1" applyFont="1" applyFill="1" applyBorder="1"/>
    <x:xf numFmtId="0" fontId="18" fillId="6" borderId="2" xfId="0" applyNumberFormat="1" applyFont="1" applyFill="1" applyBorder="1"/>
    <x:xf numFmtId="0" fontId="18" fillId="6" borderId="3" xfId="0" applyNumberFormat="1" applyFont="1" applyFill="1" applyBorder="1"/>
    <x:xf numFmtId="0" fontId="18" fillId="6" borderId="6" xfId="0" applyNumberFormat="1" applyFont="1" applyFill="1" applyBorder="1"/>
    <x:xf numFmtId="0" fontId="18" fillId="6" borderId="7" xfId="0" applyNumberFormat="1" applyFont="1" applyFill="1" applyBorder="1"/>
    <x:xf numFmtId="0" fontId="18" fillId="6" borderId="8" xfId="0" applyNumberFormat="1" applyFont="1" applyFill="1" applyBorder="1"/>
    <x:xf numFmtId="201" fontId="18" fillId="6" borderId="1" xfId="0" applyNumberFormat="1" applyFont="1" applyFill="1" applyBorder="1"/>
    <x:xf numFmtId="201" fontId="18" fillId="6" borderId="2" xfId="0" applyNumberFormat="1" applyFont="1" applyFill="1" applyBorder="1"/>
    <x:xf numFmtId="201" fontId="18" fillId="6" borderId="3" xfId="0" applyNumberFormat="1" applyFont="1" applyFill="1" applyBorder="1"/>
    <x:xf numFmtId="201" fontId="18" fillId="6" borderId="6" xfId="0" applyNumberFormat="1" applyFont="1" applyFill="1" applyBorder="1"/>
    <x:xf numFmtId="201" fontId="18" fillId="6" borderId="7" xfId="0" applyNumberFormat="1" applyFont="1" applyFill="1" applyBorder="1"/>
    <x:xf numFmtId="201" fontId="18" fillId="6" borderId="8" xfId="0" applyNumberFormat="1" applyFont="1" applyFill="1" applyBorder="1"/>
    <x:xf numFmtId="201" fontId="18" fillId="6" borderId="1" xfId="0" applyNumberFormat="1" applyFont="1" applyFill="1" applyBorder="1" applyAlignment="1">
      <x:alignment horizontal="center"/>
    </x:xf>
    <x:xf numFmtId="201" fontId="18" fillId="6" borderId="2" xfId="0" applyNumberFormat="1" applyFont="1" applyFill="1" applyBorder="1" applyAlignment="1">
      <x:alignment horizontal="center"/>
    </x:xf>
    <x:xf numFmtId="201" fontId="18" fillId="6" borderId="3" xfId="0" applyNumberFormat="1" applyFont="1" applyFill="1" applyBorder="1" applyAlignment="1">
      <x:alignment horizontal="center"/>
    </x:xf>
    <x:xf numFmtId="201" fontId="18" fillId="6" borderId="6" xfId="0" applyNumberFormat="1" applyFont="1" applyFill="1" applyBorder="1" applyAlignment="1">
      <x:alignment horizontal="center"/>
    </x:xf>
    <x:xf numFmtId="201" fontId="18" fillId="6" borderId="7" xfId="0" applyNumberFormat="1" applyFont="1" applyFill="1" applyBorder="1" applyAlignment="1">
      <x:alignment horizontal="center"/>
    </x:xf>
    <x:xf numFmtId="201" fontId="18" fillId="6" borderId="8" xfId="0" applyNumberFormat="1" applyFont="1" applyFill="1" applyBorder="1" applyAlignment="1">
      <x:alignment horizontal="center"/>
    </x:xf>
    <x:xf numFmtId="201" fontId="18" fillId="6" borderId="1" xfId="0" applyNumberFormat="1" applyFont="1" applyFill="1" applyBorder="1" applyAlignment="1">
      <x:alignment horizontal="center" vertical="center"/>
    </x:xf>
    <x:xf numFmtId="201" fontId="18" fillId="6" borderId="2" xfId="0" applyNumberFormat="1" applyFont="1" applyFill="1" applyBorder="1" applyAlignment="1">
      <x:alignment horizontal="center" vertical="center"/>
    </x:xf>
    <x:xf numFmtId="201" fontId="18" fillId="6" borderId="3" xfId="0" applyNumberFormat="1" applyFont="1" applyFill="1" applyBorder="1" applyAlignment="1">
      <x:alignment horizontal="center" vertical="center"/>
    </x:xf>
    <x:xf numFmtId="201" fontId="18" fillId="6" borderId="6" xfId="0" applyNumberFormat="1" applyFont="1" applyFill="1" applyBorder="1" applyAlignment="1">
      <x:alignment horizontal="center" vertical="center"/>
    </x:xf>
    <x:xf numFmtId="201" fontId="18" fillId="6" borderId="7" xfId="0" applyNumberFormat="1" applyFont="1" applyFill="1" applyBorder="1" applyAlignment="1">
      <x:alignment horizontal="center" vertical="center"/>
    </x:xf>
    <x:xf numFmtId="201" fontId="18" fillId="6" borderId="8" xfId="0" applyNumberFormat="1" applyFont="1" applyFill="1" applyBorder="1" applyAlignment="1">
      <x:alignment horizontal="center" vertical="center"/>
    </x:xf>
    <x:xf numFmtId="0" fontId="17" fillId="3" borderId="0" xfId="0" applyNumberFormat="1" applyFont="1" applyFill="1" applyBorder="1"/>
    <x:xf numFmtId="0" fontId="17" fillId="3" borderId="16" xfId="0" applyNumberFormat="1" applyFont="1" applyFill="1" applyBorder="1"/>
    <x:xf numFmtId="0" fontId="17" fillId="3" borderId="11" xfId="0" applyNumberFormat="1" applyFont="1" applyFill="1" applyBorder="1"/>
    <x:xf numFmtId="0" fontId="17" fillId="3" borderId="14" xfId="0" applyNumberFormat="1" applyFont="1" applyFill="1" applyBorder="1"/>
    <x:xf numFmtId="0" fontId="17" fillId="3" borderId="16" xfId="0" applyNumberFormat="1" applyFont="1" applyFill="1" applyBorder="1" applyAlignment="1">
      <x:alignment horizontal="center"/>
    </x:xf>
    <x:xf numFmtId="0" fontId="17" fillId="3" borderId="11" xfId="0" applyNumberFormat="1" applyFont="1" applyFill="1" applyBorder="1" applyAlignment="1">
      <x:alignment horizontal="center"/>
    </x:xf>
    <x:xf numFmtId="0" fontId="17" fillId="3" borderId="14" xfId="0" applyNumberFormat="1" applyFont="1" applyFill="1" applyBorder="1" applyAlignment="1">
      <x:alignment horizontal="center"/>
    </x:xf>
    <x:xf numFmtId="0" fontId="17" fillId="3" borderId="16" xfId="0" applyNumberFormat="1" applyFont="1" applyFill="1" applyBorder="1" applyAlignment="1">
      <x:alignment horizontal="center" vertical="center"/>
    </x:xf>
    <x:xf numFmtId="0" fontId="17" fillId="3" borderId="11" xfId="0" applyNumberFormat="1" applyFont="1" applyFill="1" applyBorder="1" applyAlignment="1">
      <x:alignment horizontal="center" vertical="center"/>
    </x:xf>
    <x:xf numFmtId="0" fontId="17" fillId="3" borderId="14" xfId="0" applyNumberFormat="1" applyFont="1" applyFill="1" applyBorder="1" applyAlignment="1">
      <x:alignment horizontal="center" vertical="center"/>
    </x:xf>
    <x:xf numFmtId="0" fontId="19" fillId="3" borderId="0" xfId="0" applyNumberFormat="1" applyFont="1" applyFill="1" applyBorder="1"/>
    <x:xf numFmtId="0" fontId="19" fillId="3" borderId="1" xfId="0" applyNumberFormat="1" applyFont="1" applyFill="1" applyBorder="1"/>
    <x:xf numFmtId="0" fontId="19" fillId="3" borderId="2" xfId="0" applyNumberFormat="1" applyFont="1" applyFill="1" applyBorder="1"/>
    <x:xf numFmtId="0" fontId="19" fillId="3" borderId="3" xfId="0" applyNumberFormat="1" applyFont="1" applyFill="1" applyBorder="1"/>
    <x:xf numFmtId="0" fontId="19" fillId="3" borderId="6" xfId="0" applyNumberFormat="1" applyFont="1" applyFill="1" applyBorder="1"/>
    <x:xf numFmtId="0" fontId="19" fillId="3" borderId="7" xfId="0" applyNumberFormat="1" applyFont="1" applyFill="1" applyBorder="1"/>
    <x:xf numFmtId="0" fontId="19" fillId="3" borderId="8" xfId="0" applyNumberFormat="1" applyFont="1" applyFill="1" applyBorder="1"/>
    <x:xf numFmtId="201" fontId="19" fillId="3" borderId="1" xfId="0" applyNumberFormat="1" applyFont="1" applyFill="1" applyBorder="1"/>
    <x:xf numFmtId="201" fontId="19" fillId="3" borderId="2" xfId="0" applyNumberFormat="1" applyFont="1" applyFill="1" applyBorder="1"/>
    <x:xf numFmtId="201" fontId="19" fillId="3" borderId="3" xfId="0" applyNumberFormat="1" applyFont="1" applyFill="1" applyBorder="1"/>
    <x:xf numFmtId="201" fontId="19" fillId="3" borderId="6" xfId="0" applyNumberFormat="1" applyFont="1" applyFill="1" applyBorder="1"/>
    <x:xf numFmtId="201" fontId="19" fillId="3" borderId="7" xfId="0" applyNumberFormat="1" applyFont="1" applyFill="1" applyBorder="1"/>
    <x:xf numFmtId="201" fontId="19" fillId="3" borderId="8" xfId="0" applyNumberFormat="1" applyFont="1" applyFill="1" applyBorder="1"/>
    <x:xf numFmtId="201" fontId="19" fillId="3" borderId="1" xfId="0" applyNumberFormat="1" applyFont="1" applyFill="1" applyBorder="1" applyAlignment="1">
      <x:alignment horizontal="center"/>
    </x:xf>
    <x:xf numFmtId="201" fontId="19" fillId="3" borderId="2" xfId="0" applyNumberFormat="1" applyFont="1" applyFill="1" applyBorder="1" applyAlignment="1">
      <x:alignment horizontal="center"/>
    </x:xf>
    <x:xf numFmtId="201" fontId="19" fillId="3" borderId="3" xfId="0" applyNumberFormat="1" applyFont="1" applyFill="1" applyBorder="1" applyAlignment="1">
      <x:alignment horizontal="center"/>
    </x:xf>
    <x:xf numFmtId="201" fontId="19" fillId="3" borderId="6" xfId="0" applyNumberFormat="1" applyFont="1" applyFill="1" applyBorder="1" applyAlignment="1">
      <x:alignment horizontal="center"/>
    </x:xf>
    <x:xf numFmtId="201" fontId="19" fillId="3" borderId="7" xfId="0" applyNumberFormat="1" applyFont="1" applyFill="1" applyBorder="1" applyAlignment="1">
      <x:alignment horizontal="center"/>
    </x:xf>
    <x:xf numFmtId="201" fontId="19" fillId="3" borderId="8" xfId="0" applyNumberFormat="1" applyFont="1" applyFill="1" applyBorder="1" applyAlignment="1">
      <x:alignment horizontal="center"/>
    </x:xf>
    <x:xf numFmtId="201" fontId="19" fillId="3" borderId="1" xfId="0" applyNumberFormat="1" applyFont="1" applyFill="1" applyBorder="1" applyAlignment="1">
      <x:alignment horizontal="center" vertical="center"/>
    </x:xf>
    <x:xf numFmtId="201" fontId="19" fillId="3" borderId="2" xfId="0" applyNumberFormat="1" applyFont="1" applyFill="1" applyBorder="1" applyAlignment="1">
      <x:alignment horizontal="center" vertical="center"/>
    </x:xf>
    <x:xf numFmtId="201" fontId="19" fillId="3" borderId="3" xfId="0" applyNumberFormat="1" applyFont="1" applyFill="1" applyBorder="1" applyAlignment="1">
      <x:alignment horizontal="center" vertical="center"/>
    </x:xf>
    <x:xf numFmtId="201" fontId="19" fillId="3" borderId="6" xfId="0" applyNumberFormat="1" applyFont="1" applyFill="1" applyBorder="1" applyAlignment="1">
      <x:alignment horizontal="center" vertical="center"/>
    </x:xf>
    <x:xf numFmtId="201" fontId="19" fillId="3" borderId="7" xfId="0" applyNumberFormat="1" applyFont="1" applyFill="1" applyBorder="1" applyAlignment="1">
      <x:alignment horizontal="center" vertical="center"/>
    </x:xf>
    <x:xf numFmtId="201" fontId="19" fillId="3" borderId="8" xfId="0" applyNumberFormat="1" applyFont="1" applyFill="1" applyBorder="1" applyAlignment="1">
      <x:alignment horizontal="center" vertical="center"/>
    </x:xf>
    <x:xf numFmtId="0" fontId="17" fillId="8" borderId="0" xfId="0" applyNumberFormat="1" applyFont="1" applyFill="1" applyBorder="1"/>
    <x:xf numFmtId="0" fontId="17" fillId="8" borderId="16" xfId="0" applyNumberFormat="1" applyFont="1" applyFill="1" applyBorder="1"/>
    <x:xf numFmtId="0" fontId="17" fillId="8" borderId="11" xfId="0" applyNumberFormat="1" applyFont="1" applyFill="1" applyBorder="1"/>
    <x:xf numFmtId="0" fontId="17" fillId="8" borderId="14" xfId="0" applyNumberFormat="1" applyFont="1" applyFill="1" applyBorder="1"/>
    <x:xf numFmtId="0" fontId="17" fillId="8" borderId="16" xfId="0" applyNumberFormat="1" applyFont="1" applyFill="1" applyBorder="1" applyAlignment="1">
      <x:alignment horizontal="center"/>
    </x:xf>
    <x:xf numFmtId="0" fontId="17" fillId="8" borderId="11" xfId="0" applyNumberFormat="1" applyFont="1" applyFill="1" applyBorder="1" applyAlignment="1">
      <x:alignment horizontal="center"/>
    </x:xf>
    <x:xf numFmtId="0" fontId="17" fillId="8" borderId="14" xfId="0" applyNumberFormat="1" applyFont="1" applyFill="1" applyBorder="1" applyAlignment="1">
      <x:alignment horizontal="center"/>
    </x:xf>
    <x:xf numFmtId="0" fontId="17" fillId="8" borderId="16" xfId="0" applyNumberFormat="1" applyFont="1" applyFill="1" applyBorder="1" applyAlignment="1">
      <x:alignment horizontal="center" vertical="center"/>
    </x:xf>
    <x:xf numFmtId="0" fontId="17" fillId="8" borderId="11" xfId="0" applyNumberFormat="1" applyFont="1" applyFill="1" applyBorder="1" applyAlignment="1">
      <x:alignment horizontal="center" vertical="center"/>
    </x:xf>
    <x:xf numFmtId="0" fontId="17" fillId="8" borderId="1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6" xfId="0" applyNumberFormat="1" applyFont="1" applyFill="1" applyBorder="1"/>
    <x:xf numFmtId="0" fontId="20" fillId="8" borderId="7" xfId="0" applyNumberFormat="1" applyFont="1" applyFill="1" applyBorder="1"/>
    <x:xf numFmtId="0" fontId="20" fillId="8" borderId="8" xfId="0" applyNumberFormat="1" applyFont="1" applyFill="1" applyBorder="1"/>
    <x:xf numFmtId="202" fontId="20" fillId="8" borderId="1" xfId="0" applyNumberFormat="1" applyFont="1" applyFill="1" applyBorder="1"/>
    <x:xf numFmtId="202" fontId="20" fillId="8" borderId="2" xfId="0" applyNumberFormat="1" applyFont="1" applyFill="1" applyBorder="1"/>
    <x:xf numFmtId="202" fontId="20" fillId="8" borderId="3" xfId="0" applyNumberFormat="1" applyFont="1" applyFill="1" applyBorder="1"/>
    <x:xf numFmtId="202" fontId="20" fillId="8" borderId="6" xfId="0" applyNumberFormat="1" applyFont="1" applyFill="1" applyBorder="1"/>
    <x:xf numFmtId="202" fontId="20" fillId="8" borderId="7" xfId="0" applyNumberFormat="1" applyFont="1" applyFill="1" applyBorder="1"/>
    <x:xf numFmtId="202" fontId="20" fillId="8" borderId="8" xfId="0" applyNumberFormat="1" applyFont="1" applyFill="1" applyBorder="1"/>
    <x:xf numFmtId="202" fontId="20" fillId="8" borderId="1" xfId="0" applyNumberFormat="1" applyFont="1" applyFill="1" applyBorder="1" applyAlignment="1">
      <x:alignment horizontal="center"/>
    </x:xf>
    <x:xf numFmtId="202" fontId="20" fillId="8" borderId="2" xfId="0" applyNumberFormat="1" applyFont="1" applyFill="1" applyBorder="1" applyAlignment="1">
      <x:alignment horizontal="center"/>
    </x:xf>
    <x:xf numFmtId="202" fontId="20" fillId="8" borderId="3" xfId="0" applyNumberFormat="1" applyFont="1" applyFill="1" applyBorder="1" applyAlignment="1">
      <x:alignment horizontal="center"/>
    </x:xf>
    <x:xf numFmtId="202" fontId="20" fillId="8" borderId="6" xfId="0" applyNumberFormat="1" applyFont="1" applyFill="1" applyBorder="1" applyAlignment="1">
      <x:alignment horizontal="center"/>
    </x:xf>
    <x:xf numFmtId="202" fontId="20" fillId="8" borderId="7" xfId="0" applyNumberFormat="1" applyFont="1" applyFill="1" applyBorder="1" applyAlignment="1">
      <x:alignment horizontal="center"/>
    </x:xf>
    <x:xf numFmtId="202" fontId="20" fillId="8" borderId="8" xfId="0" applyNumberFormat="1" applyFont="1" applyFill="1" applyBorder="1" applyAlignment="1">
      <x:alignment horizontal="center"/>
    </x:xf>
    <x:xf numFmtId="202" fontId="20" fillId="8" borderId="1" xfId="0" applyNumberFormat="1" applyFont="1" applyFill="1" applyBorder="1" applyAlignment="1">
      <x:alignment horizontal="center" vertical="center"/>
    </x:xf>
    <x:xf numFmtId="202" fontId="20" fillId="8" borderId="2" xfId="0" applyNumberFormat="1" applyFont="1" applyFill="1" applyBorder="1" applyAlignment="1">
      <x:alignment horizontal="center" vertical="center"/>
    </x:xf>
    <x:xf numFmtId="202" fontId="20" fillId="8" borderId="3" xfId="0" applyNumberFormat="1" applyFont="1" applyFill="1" applyBorder="1" applyAlignment="1">
      <x:alignment horizontal="center" vertical="center"/>
    </x:xf>
    <x:xf numFmtId="202" fontId="20" fillId="8" borderId="6" xfId="0" applyNumberFormat="1" applyFont="1" applyFill="1" applyBorder="1" applyAlignment="1">
      <x:alignment horizontal="center" vertical="center"/>
    </x:xf>
    <x:xf numFmtId="202" fontId="20" fillId="8" borderId="7" xfId="0" applyNumberFormat="1" applyFont="1" applyFill="1" applyBorder="1" applyAlignment="1">
      <x:alignment horizontal="center" vertical="center"/>
    </x:xf>
    <x:xf numFmtId="202" fontId="20" fillId="8" borderId="8" xfId="0" applyNumberFormat="1" applyFont="1" applyFill="1" applyBorder="1" applyAlignment="1">
      <x:alignment horizontal="center" vertical="center"/>
    </x:xf>
    <x:xf numFmtId="206" fontId="18" fillId="6" borderId="1" xfId="0" applyNumberFormat="1" applyFont="1" applyFill="1" applyBorder="1"/>
    <x:xf numFmtId="206" fontId="18" fillId="6" borderId="2" xfId="0" applyNumberFormat="1" applyFont="1" applyFill="1" applyBorder="1"/>
    <x:xf numFmtId="206" fontId="18" fillId="6" borderId="3" xfId="0" applyNumberFormat="1" applyFont="1" applyFill="1" applyBorder="1"/>
    <x:xf numFmtId="206" fontId="18" fillId="6" borderId="6" xfId="0" applyNumberFormat="1" applyFont="1" applyFill="1" applyBorder="1"/>
    <x:xf numFmtId="206" fontId="18" fillId="6" borderId="7" xfId="0" applyNumberFormat="1" applyFont="1" applyFill="1" applyBorder="1"/>
    <x:xf numFmtId="206" fontId="18" fillId="6" borderId="8" xfId="0" applyNumberFormat="1" applyFont="1" applyFill="1" applyBorder="1"/>
    <x:xf numFmtId="206" fontId="18" fillId="6" borderId="1" xfId="0" applyNumberFormat="1" applyFont="1" applyFill="1" applyBorder="1" applyAlignment="1">
      <x:alignment horizontal="center"/>
    </x:xf>
    <x:xf numFmtId="206" fontId="18" fillId="6" borderId="2" xfId="0" applyNumberFormat="1" applyFont="1" applyFill="1" applyBorder="1" applyAlignment="1">
      <x:alignment horizontal="center"/>
    </x:xf>
    <x:xf numFmtId="206" fontId="18" fillId="6" borderId="3" xfId="0" applyNumberFormat="1" applyFont="1" applyFill="1" applyBorder="1" applyAlignment="1">
      <x:alignment horizontal="center"/>
    </x:xf>
    <x:xf numFmtId="206" fontId="18" fillId="6" borderId="6" xfId="0" applyNumberFormat="1" applyFont="1" applyFill="1" applyBorder="1" applyAlignment="1">
      <x:alignment horizontal="center"/>
    </x:xf>
    <x:xf numFmtId="206" fontId="18" fillId="6" borderId="7" xfId="0" applyNumberFormat="1" applyFont="1" applyFill="1" applyBorder="1" applyAlignment="1">
      <x:alignment horizontal="center"/>
    </x:xf>
    <x:xf numFmtId="206" fontId="18" fillId="6" borderId="8" xfId="0" applyNumberFormat="1" applyFont="1" applyFill="1" applyBorder="1" applyAlignment="1">
      <x:alignment horizontal="center"/>
    </x:xf>
    <x:xf numFmtId="206" fontId="18" fillId="6" borderId="1" xfId="0" applyNumberFormat="1" applyFont="1" applyFill="1" applyBorder="1" applyAlignment="1">
      <x:alignment horizontal="center" vertical="center"/>
    </x:xf>
    <x:xf numFmtId="206" fontId="18" fillId="6" borderId="2" xfId="0" applyNumberFormat="1" applyFont="1" applyFill="1" applyBorder="1" applyAlignment="1">
      <x:alignment horizontal="center" vertical="center"/>
    </x:xf>
    <x:xf numFmtId="206" fontId="18" fillId="6" borderId="3" xfId="0" applyNumberFormat="1" applyFont="1" applyFill="1" applyBorder="1" applyAlignment="1">
      <x:alignment horizontal="center" vertical="center"/>
    </x:xf>
    <x:xf numFmtId="206" fontId="18" fillId="6" borderId="6" xfId="0" applyNumberFormat="1" applyFont="1" applyFill="1" applyBorder="1" applyAlignment="1">
      <x:alignment horizontal="center" vertical="center"/>
    </x:xf>
    <x:xf numFmtId="206" fontId="18" fillId="6" borderId="7" xfId="0" applyNumberFormat="1" applyFont="1" applyFill="1" applyBorder="1" applyAlignment="1">
      <x:alignment horizontal="center" vertical="center"/>
    </x:xf>
    <x:xf numFmtId="206" fontId="18" fillId="6" borderId="8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7" fillId="9" borderId="0" xfId="0" applyNumberFormat="1" applyFont="1" applyFill="1" applyBorder="1"/>
    <x:xf numFmtId="0" fontId="17" fillId="9" borderId="16" xfId="0" applyNumberFormat="1" applyFont="1" applyFill="1" applyBorder="1"/>
    <x:xf numFmtId="0" fontId="17" fillId="9" borderId="11" xfId="0" applyNumberFormat="1" applyFont="1" applyFill="1" applyBorder="1"/>
    <x:xf numFmtId="0" fontId="17" fillId="9" borderId="14" xfId="0" applyNumberFormat="1" applyFont="1" applyFill="1" applyBorder="1"/>
    <x:xf numFmtId="0" fontId="17" fillId="9" borderId="16" xfId="0" applyNumberFormat="1" applyFont="1" applyFill="1" applyBorder="1" applyAlignment="1">
      <x:alignment horizontal="center"/>
    </x:xf>
    <x:xf numFmtId="0" fontId="17" fillId="9" borderId="11" xfId="0" applyNumberFormat="1" applyFont="1" applyFill="1" applyBorder="1" applyAlignment="1">
      <x:alignment horizontal="center"/>
    </x:xf>
    <x:xf numFmtId="0" fontId="17" fillId="9" borderId="14" xfId="0" applyNumberFormat="1" applyFont="1" applyFill="1" applyBorder="1" applyAlignment="1">
      <x:alignment horizontal="center"/>
    </x:xf>
    <x:xf numFmtId="0" fontId="17" fillId="9" borderId="16" xfId="0" applyNumberFormat="1" applyFont="1" applyFill="1" applyBorder="1" applyAlignment="1">
      <x:alignment horizontal="center" vertical="center"/>
    </x:xf>
    <x:xf numFmtId="0" fontId="17" fillId="9" borderId="11" xfId="0" applyNumberFormat="1" applyFont="1" applyFill="1" applyBorder="1" applyAlignment="1">
      <x:alignment horizontal="center" vertical="center"/>
    </x:xf>
    <x:xf numFmtId="0" fontId="17" fillId="9" borderId="14" xfId="0" applyNumberFormat="1" applyFont="1" applyFill="1" applyBorder="1" applyAlignment="1">
      <x:alignment horizontal="center" vertical="center"/>
    </x:xf>
    <x:xf numFmtId="0" fontId="21" fillId="9" borderId="0" xfId="0" applyNumberFormat="1" applyFont="1" applyFill="1" applyBorder="1"/>
    <x:xf numFmtId="0" fontId="21" fillId="9" borderId="1" xfId="0" applyNumberFormat="1" applyFont="1" applyFill="1" applyBorder="1"/>
    <x:xf numFmtId="0" fontId="21" fillId="9" borderId="2" xfId="0" applyNumberFormat="1" applyFont="1" applyFill="1" applyBorder="1"/>
    <x:xf numFmtId="0" fontId="21" fillId="9" borderId="3" xfId="0" applyNumberFormat="1" applyFont="1" applyFill="1" applyBorder="1"/>
    <x:xf numFmtId="0" fontId="21" fillId="9" borderId="6" xfId="0" applyNumberFormat="1" applyFont="1" applyFill="1" applyBorder="1"/>
    <x:xf numFmtId="0" fontId="21" fillId="9" borderId="7" xfId="0" applyNumberFormat="1" applyFont="1" applyFill="1" applyBorder="1"/>
    <x:xf numFmtId="0" fontId="21" fillId="9" borderId="8" xfId="0" applyNumberFormat="1" applyFont="1" applyFill="1" applyBorder="1"/>
    <x:xf numFmtId="202" fontId="21" fillId="9" borderId="1" xfId="0" applyNumberFormat="1" applyFont="1" applyFill="1" applyBorder="1"/>
    <x:xf numFmtId="202" fontId="21" fillId="9" borderId="2" xfId="0" applyNumberFormat="1" applyFont="1" applyFill="1" applyBorder="1"/>
    <x:xf numFmtId="202" fontId="21" fillId="9" borderId="3" xfId="0" applyNumberFormat="1" applyFont="1" applyFill="1" applyBorder="1"/>
    <x:xf numFmtId="202" fontId="21" fillId="9" borderId="6" xfId="0" applyNumberFormat="1" applyFont="1" applyFill="1" applyBorder="1"/>
    <x:xf numFmtId="202" fontId="21" fillId="9" borderId="7" xfId="0" applyNumberFormat="1" applyFont="1" applyFill="1" applyBorder="1"/>
    <x:xf numFmtId="202" fontId="21" fillId="9" borderId="8" xfId="0" applyNumberFormat="1" applyFont="1" applyFill="1" applyBorder="1"/>
    <x:xf numFmtId="202" fontId="21" fillId="9" borderId="1" xfId="0" applyNumberFormat="1" applyFont="1" applyFill="1" applyBorder="1" applyAlignment="1">
      <x:alignment horizontal="center"/>
    </x:xf>
    <x:xf numFmtId="202" fontId="21" fillId="9" borderId="2" xfId="0" applyNumberFormat="1" applyFont="1" applyFill="1" applyBorder="1" applyAlignment="1">
      <x:alignment horizontal="center"/>
    </x:xf>
    <x:xf numFmtId="202" fontId="21" fillId="9" borderId="3" xfId="0" applyNumberFormat="1" applyFont="1" applyFill="1" applyBorder="1" applyAlignment="1">
      <x:alignment horizontal="center"/>
    </x:xf>
    <x:xf numFmtId="202" fontId="21" fillId="9" borderId="6" xfId="0" applyNumberFormat="1" applyFont="1" applyFill="1" applyBorder="1" applyAlignment="1">
      <x:alignment horizontal="center"/>
    </x:xf>
    <x:xf numFmtId="202" fontId="21" fillId="9" borderId="7" xfId="0" applyNumberFormat="1" applyFont="1" applyFill="1" applyBorder="1" applyAlignment="1">
      <x:alignment horizontal="center"/>
    </x:xf>
    <x:xf numFmtId="202" fontId="21" fillId="9" borderId="8" xfId="0" applyNumberFormat="1" applyFont="1" applyFill="1" applyBorder="1" applyAlignment="1">
      <x:alignment horizontal="center"/>
    </x:xf>
    <x:xf numFmtId="202" fontId="21" fillId="9" borderId="1" xfId="0" applyNumberFormat="1" applyFont="1" applyFill="1" applyBorder="1" applyAlignment="1">
      <x:alignment horizontal="center" vertical="center"/>
    </x:xf>
    <x:xf numFmtId="202" fontId="21" fillId="9" borderId="2" xfId="0" applyNumberFormat="1" applyFont="1" applyFill="1" applyBorder="1" applyAlignment="1">
      <x:alignment horizontal="center" vertical="center"/>
    </x:xf>
    <x:xf numFmtId="202" fontId="21" fillId="9" borderId="3" xfId="0" applyNumberFormat="1" applyFont="1" applyFill="1" applyBorder="1" applyAlignment="1">
      <x:alignment horizontal="center" vertical="center"/>
    </x:xf>
    <x:xf numFmtId="202" fontId="21" fillId="9" borderId="6" xfId="0" applyNumberFormat="1" applyFont="1" applyFill="1" applyBorder="1" applyAlignment="1">
      <x:alignment horizontal="center" vertical="center"/>
    </x:xf>
    <x:xf numFmtId="202" fontId="21" fillId="9" borderId="7" xfId="0" applyNumberFormat="1" applyFont="1" applyFill="1" applyBorder="1" applyAlignment="1">
      <x:alignment horizontal="center" vertical="center"/>
    </x:xf>
    <x:xf numFmtId="202" fontId="21" fillId="9" borderId="8" xfId="0" applyNumberFormat="1" applyFont="1" applyFill="1" applyBorder="1" applyAlignment="1">
      <x:alignment horizontal="center" vertical="center"/>
    </x:xf>
    <x:xf numFmtId="0" fontId="17" fillId="4" borderId="0" xfId="0" applyNumberFormat="1" applyFont="1" applyFill="1" applyBorder="1"/>
    <x:xf numFmtId="0" fontId="17" fillId="4" borderId="16" xfId="0" applyNumberFormat="1" applyFont="1" applyFill="1" applyBorder="1"/>
    <x:xf numFmtId="0" fontId="17" fillId="4" borderId="11" xfId="0" applyNumberFormat="1" applyFont="1" applyFill="1" applyBorder="1"/>
    <x:xf numFmtId="0" fontId="17" fillId="4" borderId="14" xfId="0" applyNumberFormat="1" applyFont="1" applyFill="1" applyBorder="1"/>
    <x:xf numFmtId="0" fontId="17" fillId="4" borderId="16" xfId="0" applyNumberFormat="1" applyFont="1" applyFill="1" applyBorder="1" applyAlignment="1">
      <x:alignment horizontal="center"/>
    </x:xf>
    <x:xf numFmtId="0" fontId="17" fillId="4" borderId="11" xfId="0" applyNumberFormat="1" applyFont="1" applyFill="1" applyBorder="1" applyAlignment="1">
      <x:alignment horizontal="center"/>
    </x:xf>
    <x:xf numFmtId="0" fontId="17" fillId="4" borderId="14" xfId="0" applyNumberFormat="1" applyFont="1" applyFill="1" applyBorder="1" applyAlignment="1">
      <x:alignment horizontal="center"/>
    </x:xf>
    <x:xf numFmtId="0" fontId="17" fillId="4" borderId="16" xfId="0" applyNumberFormat="1" applyFont="1" applyFill="1" applyBorder="1" applyAlignment="1">
      <x:alignment horizontal="center" vertical="center"/>
    </x:xf>
    <x:xf numFmtId="0" fontId="17" fillId="4" borderId="11" xfId="0" applyNumberFormat="1" applyFont="1" applyFill="1" applyBorder="1" applyAlignment="1">
      <x:alignment horizontal="center" vertical="center"/>
    </x:xf>
    <x:xf numFmtId="0" fontId="17" fillId="4" borderId="14" xfId="0" applyNumberFormat="1" applyFont="1" applyFill="1" applyBorder="1" applyAlignment="1">
      <x:alignment horizontal="center" vertical="center"/>
    </x:xf>
    <x:xf numFmtId="0" fontId="20" fillId="4" borderId="0" xfId="0" applyNumberFormat="1" applyFont="1" applyFill="1" applyBorder="1"/>
    <x:xf numFmtId="0" fontId="20" fillId="4" borderId="1" xfId="0" applyNumberFormat="1" applyFont="1" applyFill="1" applyBorder="1"/>
    <x:xf numFmtId="0" fontId="20" fillId="4" borderId="2" xfId="0" applyNumberFormat="1" applyFont="1" applyFill="1" applyBorder="1"/>
    <x:xf numFmtId="0" fontId="20" fillId="4" borderId="3" xfId="0" applyNumberFormat="1" applyFont="1" applyFill="1" applyBorder="1"/>
    <x:xf numFmtId="0" fontId="20" fillId="4" borderId="6" xfId="0" applyNumberFormat="1" applyFont="1" applyFill="1" applyBorder="1"/>
    <x:xf numFmtId="0" fontId="20" fillId="4" borderId="7" xfId="0" applyNumberFormat="1" applyFont="1" applyFill="1" applyBorder="1"/>
    <x:xf numFmtId="0" fontId="20" fillId="4" borderId="8" xfId="0" applyNumberFormat="1" applyFont="1" applyFill="1" applyBorder="1"/>
    <x:xf numFmtId="201" fontId="20" fillId="4" borderId="1" xfId="0" applyNumberFormat="1" applyFont="1" applyFill="1" applyBorder="1"/>
    <x:xf numFmtId="201" fontId="20" fillId="4" borderId="2" xfId="0" applyNumberFormat="1" applyFont="1" applyFill="1" applyBorder="1"/>
    <x:xf numFmtId="201" fontId="20" fillId="4" borderId="3" xfId="0" applyNumberFormat="1" applyFont="1" applyFill="1" applyBorder="1"/>
    <x:xf numFmtId="201" fontId="20" fillId="4" borderId="6" xfId="0" applyNumberFormat="1" applyFont="1" applyFill="1" applyBorder="1"/>
    <x:xf numFmtId="201" fontId="20" fillId="4" borderId="7" xfId="0" applyNumberFormat="1" applyFont="1" applyFill="1" applyBorder="1"/>
    <x:xf numFmtId="201" fontId="20" fillId="4" borderId="8" xfId="0" applyNumberFormat="1" applyFont="1" applyFill="1" applyBorder="1"/>
    <x:xf numFmtId="201" fontId="20" fillId="4" borderId="1" xfId="0" applyNumberFormat="1" applyFont="1" applyFill="1" applyBorder="1" applyAlignment="1">
      <x:alignment horizontal="center"/>
    </x:xf>
    <x:xf numFmtId="201" fontId="20" fillId="4" borderId="2" xfId="0" applyNumberFormat="1" applyFont="1" applyFill="1" applyBorder="1" applyAlignment="1">
      <x:alignment horizontal="center"/>
    </x:xf>
    <x:xf numFmtId="201" fontId="20" fillId="4" borderId="3" xfId="0" applyNumberFormat="1" applyFont="1" applyFill="1" applyBorder="1" applyAlignment="1">
      <x:alignment horizontal="center"/>
    </x:xf>
    <x:xf numFmtId="201" fontId="20" fillId="4" borderId="6" xfId="0" applyNumberFormat="1" applyFont="1" applyFill="1" applyBorder="1" applyAlignment="1">
      <x:alignment horizontal="center"/>
    </x:xf>
    <x:xf numFmtId="201" fontId="20" fillId="4" borderId="7" xfId="0" applyNumberFormat="1" applyFont="1" applyFill="1" applyBorder="1" applyAlignment="1">
      <x:alignment horizontal="center"/>
    </x:xf>
    <x:xf numFmtId="201" fontId="20" fillId="4" borderId="8" xfId="0" applyNumberFormat="1" applyFont="1" applyFill="1" applyBorder="1" applyAlignment="1">
      <x:alignment horizontal="center"/>
    </x:xf>
    <x:xf numFmtId="201" fontId="20" fillId="4" borderId="1" xfId="0" applyNumberFormat="1" applyFont="1" applyFill="1" applyBorder="1" applyAlignment="1">
      <x:alignment horizontal="center" vertical="center"/>
    </x:xf>
    <x:xf numFmtId="201" fontId="20" fillId="4" borderId="2" xfId="0" applyNumberFormat="1" applyFont="1" applyFill="1" applyBorder="1" applyAlignment="1">
      <x:alignment horizontal="center" vertical="center"/>
    </x:xf>
    <x:xf numFmtId="201" fontId="20" fillId="4" borderId="3" xfId="0" applyNumberFormat="1" applyFont="1" applyFill="1" applyBorder="1" applyAlignment="1">
      <x:alignment horizontal="center" vertical="center"/>
    </x:xf>
    <x:xf numFmtId="201" fontId="20" fillId="4" borderId="6" xfId="0" applyNumberFormat="1" applyFont="1" applyFill="1" applyBorder="1" applyAlignment="1">
      <x:alignment horizontal="center" vertical="center"/>
    </x:xf>
    <x:xf numFmtId="201" fontId="20" fillId="4" borderId="7" xfId="0" applyNumberFormat="1" applyFont="1" applyFill="1" applyBorder="1" applyAlignment="1">
      <x:alignment horizontal="center" vertical="center"/>
    </x:xf>
    <x:xf numFmtId="201" fontId="20" fillId="4" borderId="8" xfId="0" applyNumberFormat="1" applyFont="1" applyFill="1" applyBorder="1" applyAlignment="1">
      <x:alignment horizontal="center" vertical="center"/>
    </x:xf>
    <x:xf numFmtId="202" fontId="20" fillId="4" borderId="1" xfId="0" applyNumberFormat="1" applyFont="1" applyFill="1" applyBorder="1"/>
    <x:xf numFmtId="202" fontId="20" fillId="4" borderId="2" xfId="0" applyNumberFormat="1" applyFont="1" applyFill="1" applyBorder="1"/>
    <x:xf numFmtId="202" fontId="20" fillId="4" borderId="3" xfId="0" applyNumberFormat="1" applyFont="1" applyFill="1" applyBorder="1"/>
    <x:xf numFmtId="202" fontId="20" fillId="4" borderId="6" xfId="0" applyNumberFormat="1" applyFont="1" applyFill="1" applyBorder="1"/>
    <x:xf numFmtId="202" fontId="20" fillId="4" borderId="7" xfId="0" applyNumberFormat="1" applyFont="1" applyFill="1" applyBorder="1"/>
    <x:xf numFmtId="202" fontId="20" fillId="4" borderId="8" xfId="0" applyNumberFormat="1" applyFont="1" applyFill="1" applyBorder="1"/>
    <x:xf numFmtId="202" fontId="20" fillId="4" borderId="1" xfId="0" applyNumberFormat="1" applyFont="1" applyFill="1" applyBorder="1" applyAlignment="1">
      <x:alignment horizontal="center"/>
    </x:xf>
    <x:xf numFmtId="202" fontId="20" fillId="4" borderId="2" xfId="0" applyNumberFormat="1" applyFont="1" applyFill="1" applyBorder="1" applyAlignment="1">
      <x:alignment horizontal="center"/>
    </x:xf>
    <x:xf numFmtId="202" fontId="20" fillId="4" borderId="3" xfId="0" applyNumberFormat="1" applyFont="1" applyFill="1" applyBorder="1" applyAlignment="1">
      <x:alignment horizontal="center"/>
    </x:xf>
    <x:xf numFmtId="202" fontId="20" fillId="4" borderId="6" xfId="0" applyNumberFormat="1" applyFont="1" applyFill="1" applyBorder="1" applyAlignment="1">
      <x:alignment horizontal="center"/>
    </x:xf>
    <x:xf numFmtId="202" fontId="20" fillId="4" borderId="7" xfId="0" applyNumberFormat="1" applyFont="1" applyFill="1" applyBorder="1" applyAlignment="1">
      <x:alignment horizontal="center"/>
    </x:xf>
    <x:xf numFmtId="202" fontId="20" fillId="4" borderId="8" xfId="0" applyNumberFormat="1" applyFont="1" applyFill="1" applyBorder="1" applyAlignment="1">
      <x:alignment horizontal="center"/>
    </x:xf>
    <x:xf numFmtId="202" fontId="20" fillId="4" borderId="1" xfId="0" applyNumberFormat="1" applyFont="1" applyFill="1" applyBorder="1" applyAlignment="1">
      <x:alignment horizontal="center" vertical="center"/>
    </x:xf>
    <x:xf numFmtId="202" fontId="20" fillId="4" borderId="2" xfId="0" applyNumberFormat="1" applyFont="1" applyFill="1" applyBorder="1" applyAlignment="1">
      <x:alignment horizontal="center" vertical="center"/>
    </x:xf>
    <x:xf numFmtId="202" fontId="20" fillId="4" borderId="3" xfId="0" applyNumberFormat="1" applyFont="1" applyFill="1" applyBorder="1" applyAlignment="1">
      <x:alignment horizontal="center" vertical="center"/>
    </x:xf>
    <x:xf numFmtId="202" fontId="20" fillId="4" borderId="6" xfId="0" applyNumberFormat="1" applyFont="1" applyFill="1" applyBorder="1" applyAlignment="1">
      <x:alignment horizontal="center" vertical="center"/>
    </x:xf>
    <x:xf numFmtId="202" fontId="20" fillId="4" borderId="7" xfId="0" applyNumberFormat="1" applyFont="1" applyFill="1" applyBorder="1" applyAlignment="1">
      <x:alignment horizontal="center" vertical="center"/>
    </x:xf>
    <x:xf numFmtId="202" fontId="20" fillId="4" borderId="8" xfId="0" applyNumberFormat="1" applyFont="1" applyFill="1" applyBorder="1" applyAlignment="1">
      <x:alignment horizontal="center" vertical="center"/>
    </x:xf>
    <x:xf numFmtId="0" fontId="22" fillId="4" borderId="0" xfId="0" applyNumberFormat="1" applyFont="1" applyFill="1" applyBorder="1"/>
    <x:xf numFmtId="0" fontId="22" fillId="4" borderId="16" xfId="0" applyNumberFormat="1" applyFont="1" applyFill="1" applyBorder="1"/>
    <x:xf numFmtId="0" fontId="22" fillId="4" borderId="11" xfId="0" applyNumberFormat="1" applyFont="1" applyFill="1" applyBorder="1"/>
    <x:xf numFmtId="0" fontId="22" fillId="4" borderId="14" xfId="0" applyNumberFormat="1" applyFont="1" applyFill="1" applyBorder="1"/>
    <x:xf numFmtId="0" fontId="22" fillId="4" borderId="16" xfId="0" applyNumberFormat="1" applyFont="1" applyFill="1" applyBorder="1" applyAlignment="1">
      <x:alignment wrapText="1"/>
    </x:xf>
    <x:xf numFmtId="0" fontId="22" fillId="4" borderId="11" xfId="0" applyNumberFormat="1" applyFont="1" applyFill="1" applyBorder="1" applyAlignment="1">
      <x:alignment wrapText="1"/>
    </x:xf>
    <x:xf numFmtId="0" fontId="22" fillId="4" borderId="14" xfId="0" applyNumberFormat="1" applyFont="1" applyFill="1" applyBorder="1" applyAlignment="1">
      <x:alignment wrapText="1"/>
    </x:xf>
    <x:xf numFmtId="0" fontId="22" fillId="4" borderId="16" xfId="0" applyNumberFormat="1" applyFont="1" applyFill="1" applyBorder="1" applyAlignment="1">
      <x:alignment horizontal="left" wrapText="1"/>
    </x:xf>
    <x:xf numFmtId="0" fontId="22" fillId="4" borderId="11" xfId="0" applyNumberFormat="1" applyFont="1" applyFill="1" applyBorder="1" applyAlignment="1">
      <x:alignment horizontal="left" wrapText="1"/>
    </x:xf>
    <x:xf numFmtId="0" fontId="22" fillId="4" borderId="14" xfId="0" applyNumberFormat="1" applyFont="1" applyFill="1" applyBorder="1" applyAlignment="1">
      <x:alignment horizontal="left" wrapText="1"/>
    </x:xf>
    <x:xf numFmtId="0" fontId="22" fillId="4" borderId="16" xfId="0" applyNumberFormat="1" applyFont="1" applyFill="1" applyBorder="1" applyAlignment="1">
      <x:alignment horizontal="left" vertical="center" wrapText="1"/>
    </x:xf>
    <x:xf numFmtId="0" fontId="22" fillId="4" borderId="11" xfId="0" applyNumberFormat="1" applyFont="1" applyFill="1" applyBorder="1" applyAlignment="1">
      <x:alignment horizontal="left" vertical="center" wrapText="1"/>
    </x:xf>
    <x:xf numFmtId="0" fontId="22" fillId="4" borderId="14" xfId="0" applyNumberFormat="1" applyFont="1" applyFill="1" applyBorder="1" applyAlignment="1">
      <x:alignment horizontal="left" vertical="center" wrapText="1"/>
    </x:xf>
    <x:xf numFmtId="0" fontId="23" fillId="4" borderId="0" xfId="0" applyNumberFormat="1" applyFont="1" applyFill="1" applyBorder="1"/>
    <x:xf numFmtId="0" fontId="23" fillId="4" borderId="16" xfId="0" applyNumberFormat="1" applyFont="1" applyFill="1" applyBorder="1"/>
    <x:xf numFmtId="0" fontId="23" fillId="4" borderId="11" xfId="0" applyNumberFormat="1" applyFont="1" applyFill="1" applyBorder="1"/>
    <x:xf numFmtId="0" fontId="23" fillId="4" borderId="14" xfId="0" applyNumberFormat="1" applyFont="1" applyFill="1" applyBorder="1"/>
    <x:xf numFmtId="0" fontId="23" fillId="4" borderId="16" xfId="0" applyNumberFormat="1" applyFont="1" applyFill="1" applyBorder="1" applyAlignment="1">
      <x:alignment wrapText="1"/>
    </x:xf>
    <x:xf numFmtId="0" fontId="23" fillId="4" borderId="11" xfId="0" applyNumberFormat="1" applyFont="1" applyFill="1" applyBorder="1" applyAlignment="1">
      <x:alignment wrapText="1"/>
    </x:xf>
    <x:xf numFmtId="0" fontId="23" fillId="4" borderId="14" xfId="0" applyNumberFormat="1" applyFont="1" applyFill="1" applyBorder="1" applyAlignment="1">
      <x:alignment wrapText="1"/>
    </x:xf>
    <x:xf numFmtId="0" fontId="23" fillId="4" borderId="16" xfId="0" applyNumberFormat="1" applyFont="1" applyFill="1" applyBorder="1" applyAlignment="1">
      <x:alignment horizontal="left" wrapText="1"/>
    </x:xf>
    <x:xf numFmtId="0" fontId="23" fillId="4" borderId="11" xfId="0" applyNumberFormat="1" applyFont="1" applyFill="1" applyBorder="1" applyAlignment="1">
      <x:alignment horizontal="left" wrapText="1"/>
    </x:xf>
    <x:xf numFmtId="0" fontId="23" fillId="4" borderId="14" xfId="0" applyNumberFormat="1" applyFont="1" applyFill="1" applyBorder="1" applyAlignment="1">
      <x:alignment horizontal="left" wrapText="1"/>
    </x:xf>
    <x:xf numFmtId="0" fontId="23" fillId="4" borderId="16" xfId="0" applyNumberFormat="1" applyFont="1" applyFill="1" applyBorder="1" applyAlignment="1">
      <x:alignment horizontal="left" vertical="center" wrapText="1"/>
    </x:xf>
    <x:xf numFmtId="0" fontId="23" fillId="4" borderId="11" xfId="0" applyNumberFormat="1" applyFont="1" applyFill="1" applyBorder="1" applyAlignment="1">
      <x:alignment horizontal="left" vertical="center" wrapText="1"/>
    </x:xf>
    <x:xf numFmtId="0" fontId="23" fillId="4" borderId="14" xfId="0" applyNumberFormat="1" applyFont="1" applyFill="1" applyBorder="1" applyAlignment="1">
      <x:alignment horizontal="left" vertical="center" wrapText="1"/>
    </x:xf>
    <x:xf numFmtId="0" fontId="24" fillId="7" borderId="0" xfId="0" applyNumberFormat="1" applyFont="1" applyFill="1" applyBorder="1"/>
    <x:xf numFmtId="0" fontId="24" fillId="7" borderId="7" xfId="0" applyNumberFormat="1" applyFont="1" applyFill="1" applyBorder="1"/>
    <x:xf numFmtId="0" fontId="24" fillId="7" borderId="11" xfId="0" applyNumberFormat="1" applyFont="1" applyFill="1" applyBorder="1"/>
    <x:xf numFmtId="0" fontId="24" fillId="7" borderId="2" xfId="0" applyNumberFormat="1" applyFont="1" applyFill="1" applyBorder="1"/>
    <x:xf numFmtId="0" fontId="24" fillId="7" borderId="7" xfId="0" applyNumberFormat="1" applyFont="1" applyFill="1" applyBorder="1" applyAlignment="1">
      <x:alignment vertical="center"/>
    </x:xf>
    <x:xf numFmtId="0" fontId="24" fillId="7" borderId="11" xfId="0" applyNumberFormat="1" applyFont="1" applyFill="1" applyBorder="1" applyAlignment="1">
      <x:alignment vertical="center"/>
    </x:xf>
    <x:xf numFmtId="0" fontId="24" fillId="7" borderId="2" xfId="0" applyNumberFormat="1" applyFont="1" applyFill="1" applyBorder="1" applyAlignment="1">
      <x:alignment vertical="center"/>
    </x:xf>
    <x:xf numFmtId="0" fontId="23" fillId="7" borderId="7" xfId="0" applyNumberFormat="1" applyFont="1" applyFill="1" applyBorder="1" applyAlignment="1">
      <x:alignment vertical="center"/>
    </x:xf>
    <x:xf numFmtId="0" fontId="23" fillId="7" borderId="11" xfId="0" applyNumberFormat="1" applyFont="1" applyFill="1" applyBorder="1" applyAlignment="1">
      <x:alignment vertical="center"/>
    </x:xf>
    <x:xf numFmtId="0" fontId="23" fillId="7" borderId="2" xfId="0" applyNumberFormat="1" applyFont="1" applyFill="1" applyBorder="1" applyAlignment="1">
      <x:alignment vertical="center"/>
    </x:xf>
    <x:xf numFmtId="207" fontId="24" fillId="7" borderId="7" xfId="0" applyNumberFormat="1" applyFont="1" applyFill="1" applyBorder="1" applyAlignment="1">
      <x:alignment vertical="center"/>
    </x:xf>
    <x:xf numFmtId="207" fontId="24" fillId="7" borderId="11" xfId="0" applyNumberFormat="1" applyFont="1" applyFill="1" applyBorder="1" applyAlignment="1">
      <x:alignment vertical="center"/>
    </x:xf>
    <x:xf numFmtId="207" fontId="24" fillId="7" borderId="2" xfId="0" applyNumberFormat="1" applyFont="1" applyFill="1" applyBorder="1" applyAlignment="1">
      <x:alignment vertical="center"/>
    </x:xf>
    <x:xf numFmtId="0" fontId="25" fillId="6" borderId="0" xfId="0" applyNumberFormat="1" applyFont="1" applyFill="1" applyBorder="1"/>
    <x:xf numFmtId="0" fontId="25" fillId="6" borderId="18" xfId="0" applyNumberFormat="1" applyFont="1" applyFill="1" applyBorder="1"/>
    <x:xf numFmtId="0" fontId="25" fillId="6" borderId="19" xfId="0" applyNumberFormat="1" applyFont="1" applyFill="1" applyBorder="1"/>
    <x:xf numFmtId="0" fontId="25" fillId="6" borderId="20" xfId="0" applyNumberFormat="1" applyFont="1" applyFill="1" applyBorder="1"/>
    <x:xf numFmtId="0" fontId="25" fillId="6" borderId="18" xfId="0" applyNumberFormat="1" applyFont="1" applyFill="1" applyBorder="1" applyAlignment="1">
      <x:alignment horizontal="center"/>
    </x:xf>
    <x:xf numFmtId="0" fontId="25" fillId="6" borderId="19" xfId="0" applyNumberFormat="1" applyFont="1" applyFill="1" applyBorder="1" applyAlignment="1">
      <x:alignment horizontal="center"/>
    </x:xf>
    <x:xf numFmtId="0" fontId="25" fillId="6" borderId="20" xfId="0" applyNumberFormat="1" applyFont="1" applyFill="1" applyBorder="1" applyAlignment="1">
      <x:alignment horizontal="center"/>
    </x:xf>
    <x:xf numFmtId="0" fontId="25" fillId="6" borderId="18" xfId="0" applyNumberFormat="1" applyFont="1" applyFill="1" applyBorder="1" applyAlignment="1">
      <x:alignment horizontal="center" vertical="center"/>
    </x:xf>
    <x:xf numFmtId="0" fontId="25" fillId="6" borderId="19" xfId="0" applyNumberFormat="1" applyFont="1" applyFill="1" applyBorder="1" applyAlignment="1">
      <x:alignment horizontal="center" vertical="center"/>
    </x:xf>
    <x:xf numFmtId="0" fontId="25" fillId="6" borderId="20" xfId="0" applyNumberFormat="1" applyFont="1" applyFill="1" applyBorder="1" applyAlignment="1">
      <x:alignment horizontal="center" vertical="center"/>
    </x:xf>
    <x:xf numFmtId="200" fontId="15" fillId="8" borderId="7" xfId="0" applyNumberFormat="1" applyFont="1" applyFill="1" applyBorder="1" applyAlignment="1">
      <x:alignment vertical="center"/>
    </x:xf>
    <x:xf numFmtId="0" fontId="15" fillId="8" borderId="7" xfId="0" applyNumberFormat="1" applyFont="1" applyFill="1" applyBorder="1" applyAlignment="1">
      <x:alignment vertical="center"/>
    </x:xf>
    <x:xf numFmtId="201" fontId="15" fillId="8" borderId="7" xfId="0" applyNumberFormat="1" applyFont="1" applyFill="1" applyBorder="1" applyAlignment="1">
      <x:alignment vertical="center"/>
    </x:xf>
    <x:xf numFmtId="202" fontId="15" fillId="8" borderId="7" xfId="0" applyNumberFormat="1" applyFont="1" applyFill="1" applyBorder="1" applyAlignment="1">
      <x:alignment vertical="center"/>
    </x:xf>
    <x:xf numFmtId="203" fontId="15" fillId="8" borderId="7" xfId="0" applyNumberFormat="1" applyFont="1" applyFill="1" applyBorder="1" applyAlignment="1">
      <x:alignment vertical="center"/>
    </x:xf>
    <x:xf numFmtId="200" fontId="15" fillId="8" borderId="11" xfId="0" applyNumberFormat="1" applyFont="1" applyFill="1" applyBorder="1" applyAlignment="1">
      <x:alignment vertical="center"/>
    </x:xf>
    <x:xf numFmtId="0" fontId="15" fillId="8" borderId="11" xfId="0" applyNumberFormat="1" applyFont="1" applyFill="1" applyBorder="1" applyAlignment="1">
      <x:alignment vertical="center"/>
    </x:xf>
    <x:xf numFmtId="201" fontId="15" fillId="8" borderId="11" xfId="0" applyNumberFormat="1" applyFont="1" applyFill="1" applyBorder="1" applyAlignment="1">
      <x:alignment vertical="center"/>
    </x:xf>
    <x:xf numFmtId="202" fontId="15" fillId="8" borderId="11" xfId="0" applyNumberFormat="1" applyFont="1" applyFill="1" applyBorder="1" applyAlignment="1">
      <x:alignment vertical="center"/>
    </x:xf>
    <x:xf numFmtId="203" fontId="15" fillId="8" borderId="11" xfId="0" applyNumberFormat="1" applyFont="1" applyFill="1" applyBorder="1" applyAlignment="1">
      <x:alignment vertical="center"/>
    </x:xf>
    <x:xf numFmtId="200" fontId="15" fillId="8" borderId="2" xfId="0" applyNumberFormat="1" applyFont="1" applyFill="1" applyBorder="1" applyAlignment="1">
      <x:alignment vertical="center"/>
    </x:xf>
    <x:xf numFmtId="0" fontId="15" fillId="8" borderId="2" xfId="0" applyNumberFormat="1" applyFont="1" applyFill="1" applyBorder="1" applyAlignment="1">
      <x:alignment vertical="center"/>
    </x:xf>
    <x:xf numFmtId="201" fontId="15" fillId="8" borderId="2" xfId="0" applyNumberFormat="1" applyFont="1" applyFill="1" applyBorder="1" applyAlignment="1">
      <x:alignment vertical="center"/>
    </x:xf>
    <x:xf numFmtId="202" fontId="15" fillId="8" borderId="2" xfId="0" applyNumberFormat="1" applyFont="1" applyFill="1" applyBorder="1" applyAlignment="1">
      <x:alignment vertical="center"/>
    </x:xf>
    <x:xf numFmtId="203" fontId="15" fillId="8" borderId="2" xfId="0" applyNumberFormat="1" applyFont="1" applyFill="1" applyBorder="1" applyAlignment="1">
      <x:alignment vertical="center"/>
    </x:xf>
    <x:xf numFmtId="204" fontId="15" fillId="8" borderId="7" xfId="0" applyNumberFormat="1" applyFont="1" applyFill="1" applyBorder="1" applyAlignment="1">
      <x:alignment vertical="center"/>
    </x:xf>
    <x:xf numFmtId="204" fontId="15" fillId="8" borderId="11" xfId="0" applyNumberFormat="1" applyFont="1" applyFill="1" applyBorder="1" applyAlignment="1">
      <x:alignment vertical="center"/>
    </x:xf>
    <x:xf numFmtId="204" fontId="15" fillId="8" borderId="2" xfId="0" applyNumberFormat="1" applyFont="1" applyFill="1" applyBorder="1" applyAlignment="1">
      <x:alignment vertical="center"/>
    </x:xf>
    <x:xf numFmtId="200" fontId="15" fillId="7" borderId="7" xfId="0" applyNumberFormat="1" applyFont="1" applyFill="1" applyBorder="1" applyAlignment="1">
      <x:alignment vertical="center"/>
    </x:xf>
    <x:xf numFmtId="204" fontId="15" fillId="7" borderId="7" xfId="0" applyNumberFormat="1" applyFont="1" applyFill="1" applyBorder="1" applyAlignment="1">
      <x:alignment vertical="center"/>
    </x:xf>
    <x:xf numFmtId="0" fontId="15" fillId="7" borderId="7" xfId="0" applyNumberFormat="1" applyFont="1" applyFill="1" applyBorder="1" applyAlignment="1">
      <x:alignment vertical="center"/>
    </x:xf>
    <x:xf numFmtId="201" fontId="15" fillId="7" borderId="7" xfId="0" applyNumberFormat="1" applyFont="1" applyFill="1" applyBorder="1" applyAlignment="1">
      <x:alignment vertical="center"/>
    </x:xf>
    <x:xf numFmtId="202" fontId="15" fillId="7" borderId="7" xfId="0" applyNumberFormat="1" applyFont="1" applyFill="1" applyBorder="1" applyAlignment="1">
      <x:alignment vertical="center"/>
    </x:xf>
    <x:xf numFmtId="203" fontId="15" fillId="7" borderId="7" xfId="0" applyNumberFormat="1" applyFont="1" applyFill="1" applyBorder="1" applyAlignment="1">
      <x:alignment vertical="center"/>
    </x:xf>
    <x:xf numFmtId="205" fontId="15" fillId="7" borderId="7" xfId="0" applyNumberFormat="1" applyFont="1" applyFill="1" applyBorder="1" applyAlignment="1">
      <x:alignment vertical="center"/>
    </x:xf>
    <x:xf numFmtId="200" fontId="15" fillId="7" borderId="11" xfId="0" applyNumberFormat="1" applyFont="1" applyFill="1" applyBorder="1" applyAlignment="1">
      <x:alignment vertical="center"/>
    </x:xf>
    <x:xf numFmtId="204" fontId="15" fillId="7" borderId="11" xfId="0" applyNumberFormat="1" applyFont="1" applyFill="1" applyBorder="1" applyAlignment="1">
      <x:alignment vertical="center"/>
    </x:xf>
    <x:xf numFmtId="0" fontId="15" fillId="7" borderId="11" xfId="0" applyNumberFormat="1" applyFont="1" applyFill="1" applyBorder="1" applyAlignment="1">
      <x:alignment vertical="center"/>
    </x:xf>
    <x:xf numFmtId="201" fontId="15" fillId="7" borderId="11" xfId="0" applyNumberFormat="1" applyFont="1" applyFill="1" applyBorder="1" applyAlignment="1">
      <x:alignment vertical="center"/>
    </x:xf>
    <x:xf numFmtId="202" fontId="15" fillId="7" borderId="11" xfId="0" applyNumberFormat="1" applyFont="1" applyFill="1" applyBorder="1" applyAlignment="1">
      <x:alignment vertical="center"/>
    </x:xf>
    <x:xf numFmtId="203" fontId="15" fillId="7" borderId="11" xfId="0" applyNumberFormat="1" applyFont="1" applyFill="1" applyBorder="1" applyAlignment="1">
      <x:alignment vertical="center"/>
    </x:xf>
    <x:xf numFmtId="205" fontId="15" fillId="7" borderId="11" xfId="0" applyNumberFormat="1" applyFont="1" applyFill="1" applyBorder="1" applyAlignment="1">
      <x:alignment vertical="center"/>
    </x:xf>
    <x:xf numFmtId="200" fontId="15" fillId="7" borderId="2" xfId="0" applyNumberFormat="1" applyFont="1" applyFill="1" applyBorder="1" applyAlignment="1">
      <x:alignment vertical="center"/>
    </x:xf>
    <x:xf numFmtId="204" fontId="15" fillId="7" borderId="2" xfId="0" applyNumberFormat="1" applyFont="1" applyFill="1" applyBorder="1" applyAlignment="1">
      <x:alignment vertical="center"/>
    </x:xf>
    <x:xf numFmtId="0" fontId="15" fillId="7" borderId="2" xfId="0" applyNumberFormat="1" applyFont="1" applyFill="1" applyBorder="1" applyAlignment="1">
      <x:alignment vertical="center"/>
    </x:xf>
    <x:xf numFmtId="201" fontId="15" fillId="7" borderId="2" xfId="0" applyNumberFormat="1" applyFont="1" applyFill="1" applyBorder="1" applyAlignment="1">
      <x:alignment vertical="center"/>
    </x:xf>
    <x:xf numFmtId="202" fontId="15" fillId="7" borderId="2" xfId="0" applyNumberFormat="1" applyFont="1" applyFill="1" applyBorder="1" applyAlignment="1">
      <x:alignment vertical="center"/>
    </x:xf>
    <x:xf numFmtId="203" fontId="15" fillId="7" borderId="2" xfId="0" applyNumberFormat="1" applyFont="1" applyFill="1" applyBorder="1" applyAlignment="1">
      <x:alignment vertical="center"/>
    </x:xf>
    <x:xf numFmtId="205" fontId="15" fillId="7" borderId="2" xfId="0" applyNumberFormat="1" applyFont="1" applyFill="1" applyBorder="1" applyAlignment="1">
      <x:alignment vertical="center"/>
    </x:xf>
    <x:xf numFmtId="204" fontId="13" fillId="5" borderId="12" xfId="0" applyNumberFormat="1" applyFont="1" applyFill="1" applyBorder="1" applyAlignment="1">
      <x:alignment horizontal="center" vertical="center" wrapText="1"/>
    </x:xf>
    <x:xf numFmtId="0" fontId="26" fillId="7" borderId="7" xfId="0" applyNumberFormat="1" applyFont="1" applyFill="1" applyBorder="1"/>
    <x:xf numFmtId="201" fontId="15" fillId="7" borderId="7" xfId="0" applyNumberFormat="1" applyFont="1" applyFill="1" applyBorder="1"/>
    <x:xf numFmtId="201" fontId="26" fillId="3" borderId="7" xfId="0" applyNumberFormat="1" applyFont="1" applyFill="1" applyBorder="1"/>
    <x:xf numFmtId="0" fontId="26" fillId="7" borderId="11" xfId="0" applyNumberFormat="1" applyFont="1" applyFill="1" applyBorder="1"/>
    <x:xf numFmtId="201" fontId="15" fillId="7" borderId="11" xfId="0" applyNumberFormat="1" applyFont="1" applyFill="1" applyBorder="1"/>
    <x:xf numFmtId="201" fontId="26" fillId="3" borderId="11" xfId="0" applyNumberFormat="1" applyFont="1" applyFill="1" applyBorder="1"/>
    <x:xf numFmtId="202" fontId="15" fillId="7" borderId="11" xfId="0" applyNumberFormat="1" applyFont="1" applyFill="1" applyBorder="1"/>
    <x:xf numFmtId="202" fontId="26" fillId="3" borderId="11" xfId="0" applyNumberFormat="1" applyFont="1" applyFill="1" applyBorder="1"/>
    <x:xf numFmtId="206" fontId="15" fillId="7" borderId="11" xfId="0" applyNumberFormat="1" applyFont="1" applyFill="1" applyBorder="1"/>
    <x:xf numFmtId="206" fontId="26" fillId="3" borderId="11" xfId="0" applyNumberFormat="1" applyFont="1" applyFill="1" applyBorder="1"/>
    <x:xf numFmtId="0" fontId="26" fillId="7" borderId="2" xfId="0" applyNumberFormat="1" applyFont="1" applyFill="1" applyBorder="1"/>
    <x:xf numFmtId="201" fontId="15" fillId="7" borderId="2" xfId="0" applyNumberFormat="1" applyFont="1" applyFill="1" applyBorder="1"/>
    <x:xf numFmtId="201" fontId="26" fillId="3" borderId="2" xfId="0" applyNumberFormat="1" applyFont="1" applyFill="1" applyBorder="1"/>
    <x:xf numFmtId="0" fontId="15" fillId="7" borderId="7" xfId="0" applyNumberFormat="1" applyFont="1" applyFill="1" applyBorder="1"/>
    <x:xf numFmtId="202" fontId="15" fillId="7" borderId="7" xfId="0" applyNumberFormat="1" applyFont="1" applyFill="1" applyBorder="1"/>
    <x:xf numFmtId="206" fontId="15" fillId="7" borderId="7" xfId="0" applyNumberFormat="1" applyFont="1" applyFill="1" applyBorder="1"/>
    <x:xf numFmtId="0" fontId="15" fillId="7" borderId="11" xfId="0" applyNumberFormat="1" applyFont="1" applyFill="1" applyBorder="1"/>
    <x:xf numFmtId="0" fontId="15" fillId="7" borderId="2" xfId="0" applyNumberFormat="1" applyFont="1" applyFill="1" applyBorder="1"/>
    <x:xf numFmtId="202" fontId="15" fillId="7" borderId="2" xfId="0" applyNumberFormat="1" applyFont="1" applyFill="1" applyBorder="1"/>
    <x:xf numFmtId="206" fontId="15" fillId="7" borderId="2" xfId="0" applyNumberFormat="1" applyFont="1" applyFill="1" applyBorder="1"/>
    <x:xf numFmtId="0" fontId="15" fillId="4" borderId="0" xfId="0" applyNumberFormat="1" applyFont="1" applyFill="1" applyBorder="1"/>
    <x:xf numFmtId="201" fontId="15" fillId="4" borderId="0" xfId="0" applyNumberFormat="1" applyFont="1" applyFill="1" applyBorder="1"/>
    <x:xf numFmtId="0" fontId="27" fillId="6" borderId="16" xfId="0" applyNumberFormat="1" applyFont="1" applyFill="1" applyBorder="1" applyAlignment="1">
      <x:alignment horizontal="center" vertical="center"/>
    </x:xf>
    <x:xf numFmtId="0" fontId="27" fillId="6" borderId="11" xfId="0" applyNumberFormat="1" applyFont="1" applyFill="1" applyBorder="1" applyAlignment="1">
      <x:alignment horizontal="center" vertical="center"/>
    </x:xf>
    <x:xf numFmtId="0" fontId="27" fillId="6" borderId="14" xfId="0" applyNumberFormat="1" applyFont="1" applyFill="1" applyBorder="1" applyAlignment="1">
      <x:alignment horizontal="center" vertical="center"/>
    </x:xf>
    <x:xf numFmtId="0" fontId="27" fillId="3" borderId="16" xfId="0" applyNumberFormat="1" applyFont="1" applyFill="1" applyBorder="1" applyAlignment="1">
      <x:alignment horizontal="center" vertical="center"/>
    </x:xf>
    <x:xf numFmtId="0" fontId="27" fillId="3" borderId="11" xfId="0" applyNumberFormat="1" applyFont="1" applyFill="1" applyBorder="1" applyAlignment="1">
      <x:alignment horizontal="center" vertical="center"/>
    </x:xf>
    <x:xf numFmtId="0" fontId="27" fillId="3" borderId="14" xfId="0" applyNumberFormat="1" applyFont="1" applyFill="1" applyBorder="1" applyAlignment="1">
      <x:alignment horizontal="center" vertical="center"/>
    </x:xf>
    <x:xf numFmtId="0" fontId="27" fillId="8" borderId="16" xfId="0" applyNumberFormat="1" applyFont="1" applyFill="1" applyBorder="1" applyAlignment="1">
      <x:alignment horizontal="center" vertical="center"/>
    </x:xf>
    <x:xf numFmtId="0" fontId="27" fillId="8" borderId="11" xfId="0" applyNumberFormat="1" applyFont="1" applyFill="1" applyBorder="1" applyAlignment="1">
      <x:alignment horizontal="center" vertical="center"/>
    </x:xf>
    <x:xf numFmtId="0" fontId="27" fillId="8" borderId="14" xfId="0" applyNumberFormat="1" applyFont="1" applyFill="1" applyBorder="1" applyAlignment="1">
      <x:alignment horizontal="center" vertical="center"/>
    </x:xf>
    <x:xf numFmtId="0" fontId="27" fillId="9" borderId="16" xfId="0" applyNumberFormat="1" applyFont="1" applyFill="1" applyBorder="1" applyAlignment="1">
      <x:alignment horizontal="center" vertical="center"/>
    </x:xf>
    <x:xf numFmtId="0" fontId="27" fillId="9" borderId="11" xfId="0" applyNumberFormat="1" applyFont="1" applyFill="1" applyBorder="1" applyAlignment="1">
      <x:alignment horizontal="center" vertical="center"/>
    </x:xf>
    <x:xf numFmtId="0" fontId="27" fillId="9" borderId="14" xfId="0" applyNumberFormat="1" applyFont="1" applyFill="1" applyBorder="1" applyAlignment="1">
      <x:alignment horizontal="center" vertical="center"/>
    </x:xf>
    <x:xf numFmtId="201" fontId="28" fillId="6" borderId="1" xfId="0" applyNumberFormat="1" applyFont="1" applyFill="1" applyBorder="1" applyAlignment="1">
      <x:alignment horizontal="center" vertical="center"/>
    </x:xf>
    <x:xf numFmtId="201" fontId="28" fillId="6" borderId="2" xfId="0" applyNumberFormat="1" applyFont="1" applyFill="1" applyBorder="1" applyAlignment="1">
      <x:alignment horizontal="center" vertical="center"/>
    </x:xf>
    <x:xf numFmtId="201" fontId="28" fillId="6" borderId="3" xfId="0" applyNumberFormat="1" applyFont="1" applyFill="1" applyBorder="1" applyAlignment="1">
      <x:alignment horizontal="center" vertical="center"/>
    </x:xf>
    <x:xf numFmtId="201" fontId="29" fillId="3" borderId="1" xfId="0" applyNumberFormat="1" applyFont="1" applyFill="1" applyBorder="1" applyAlignment="1">
      <x:alignment horizontal="center" vertical="center"/>
    </x:xf>
    <x:xf numFmtId="201" fontId="29" fillId="3" borderId="2" xfId="0" applyNumberFormat="1" applyFont="1" applyFill="1" applyBorder="1" applyAlignment="1">
      <x:alignment horizontal="center" vertical="center"/>
    </x:xf>
    <x:xf numFmtId="201" fontId="29" fillId="3" borderId="3" xfId="0" applyNumberFormat="1" applyFont="1" applyFill="1" applyBorder="1" applyAlignment="1">
      <x:alignment horizontal="center" vertical="center"/>
    </x:xf>
    <x:xf numFmtId="202" fontId="30" fillId="8" borderId="1" xfId="0" applyNumberFormat="1" applyFont="1" applyFill="1" applyBorder="1" applyAlignment="1">
      <x:alignment horizontal="center" vertical="center"/>
    </x:xf>
    <x:xf numFmtId="202" fontId="30" fillId="8" borderId="2" xfId="0" applyNumberFormat="1" applyFont="1" applyFill="1" applyBorder="1" applyAlignment="1">
      <x:alignment horizontal="center" vertical="center"/>
    </x:xf>
    <x:xf numFmtId="202" fontId="30" fillId="8" borderId="3" xfId="0" applyNumberFormat="1" applyFont="1" applyFill="1" applyBorder="1" applyAlignment="1">
      <x:alignment horizontal="center" vertical="center"/>
    </x:xf>
    <x:xf numFmtId="206" fontId="28" fillId="6" borderId="1" xfId="0" applyNumberFormat="1" applyFont="1" applyFill="1" applyBorder="1" applyAlignment="1">
      <x:alignment horizontal="center" vertical="center"/>
    </x:xf>
    <x:xf numFmtId="206" fontId="28" fillId="6" borderId="2" xfId="0" applyNumberFormat="1" applyFont="1" applyFill="1" applyBorder="1" applyAlignment="1">
      <x:alignment horizontal="center" vertical="center"/>
    </x:xf>
    <x:xf numFmtId="206" fontId="28" fillId="6" borderId="3" xfId="0" applyNumberFormat="1" applyFont="1" applyFill="1" applyBorder="1" applyAlignment="1">
      <x:alignment horizontal="center" vertical="center"/>
    </x:xf>
    <x:xf numFmtId="202" fontId="31" fillId="9" borderId="1" xfId="0" applyNumberFormat="1" applyFont="1" applyFill="1" applyBorder="1" applyAlignment="1">
      <x:alignment horizontal="center" vertical="center"/>
    </x:xf>
    <x:xf numFmtId="202" fontId="31" fillId="9" borderId="2" xfId="0" applyNumberFormat="1" applyFont="1" applyFill="1" applyBorder="1" applyAlignment="1">
      <x:alignment horizontal="center" vertical="center"/>
    </x:xf>
    <x:xf numFmtId="202" fontId="31" fillId="9" borderId="3" xfId="0" applyNumberFormat="1" applyFont="1" applyFill="1" applyBorder="1" applyAlignment="1">
      <x:alignment horizontal="center" vertical="center"/>
    </x:xf>
    <x:xf numFmtId="201" fontId="28" fillId="6" borderId="6" xfId="0" applyNumberFormat="1" applyFont="1" applyFill="1" applyBorder="1" applyAlignment="1">
      <x:alignment horizontal="center" vertical="center"/>
    </x:xf>
    <x:xf numFmtId="201" fontId="28" fillId="6" borderId="7" xfId="0" applyNumberFormat="1" applyFont="1" applyFill="1" applyBorder="1" applyAlignment="1">
      <x:alignment horizontal="center" vertical="center"/>
    </x:xf>
    <x:xf numFmtId="201" fontId="28" fillId="6" borderId="8" xfId="0" applyNumberFormat="1" applyFont="1" applyFill="1" applyBorder="1" applyAlignment="1">
      <x:alignment horizontal="center" vertical="center"/>
    </x:xf>
    <x:xf numFmtId="201" fontId="29" fillId="3" borderId="6" xfId="0" applyNumberFormat="1" applyFont="1" applyFill="1" applyBorder="1" applyAlignment="1">
      <x:alignment horizontal="center" vertical="center"/>
    </x:xf>
    <x:xf numFmtId="201" fontId="29" fillId="3" borderId="7" xfId="0" applyNumberFormat="1" applyFont="1" applyFill="1" applyBorder="1" applyAlignment="1">
      <x:alignment horizontal="center" vertical="center"/>
    </x:xf>
    <x:xf numFmtId="201" fontId="29" fillId="3" borderId="8" xfId="0" applyNumberFormat="1" applyFont="1" applyFill="1" applyBorder="1" applyAlignment="1">
      <x:alignment horizontal="center" vertical="center"/>
    </x:xf>
    <x:xf numFmtId="202" fontId="30" fillId="8" borderId="6" xfId="0" applyNumberFormat="1" applyFont="1" applyFill="1" applyBorder="1" applyAlignment="1">
      <x:alignment horizontal="center" vertical="center"/>
    </x:xf>
    <x:xf numFmtId="202" fontId="30" fillId="8" borderId="7" xfId="0" applyNumberFormat="1" applyFont="1" applyFill="1" applyBorder="1" applyAlignment="1">
      <x:alignment horizontal="center" vertical="center"/>
    </x:xf>
    <x:xf numFmtId="202" fontId="30" fillId="8" borderId="8" xfId="0" applyNumberFormat="1" applyFont="1" applyFill="1" applyBorder="1" applyAlignment="1">
      <x:alignment horizontal="center" vertical="center"/>
    </x:xf>
    <x:xf numFmtId="206" fontId="28" fillId="6" borderId="6" xfId="0" applyNumberFormat="1" applyFont="1" applyFill="1" applyBorder="1" applyAlignment="1">
      <x:alignment horizontal="center" vertical="center"/>
    </x:xf>
    <x:xf numFmtId="206" fontId="28" fillId="6" borderId="7" xfId="0" applyNumberFormat="1" applyFont="1" applyFill="1" applyBorder="1" applyAlignment="1">
      <x:alignment horizontal="center" vertical="center"/>
    </x:xf>
    <x:xf numFmtId="206" fontId="28" fillId="6" borderId="8" xfId="0" applyNumberFormat="1" applyFont="1" applyFill="1" applyBorder="1" applyAlignment="1">
      <x:alignment horizontal="center" vertical="center"/>
    </x:xf>
    <x:xf numFmtId="202" fontId="31" fillId="9" borderId="6" xfId="0" applyNumberFormat="1" applyFont="1" applyFill="1" applyBorder="1" applyAlignment="1">
      <x:alignment horizontal="center" vertical="center"/>
    </x:xf>
    <x:xf numFmtId="202" fontId="31" fillId="9" borderId="7" xfId="0" applyNumberFormat="1" applyFont="1" applyFill="1" applyBorder="1" applyAlignment="1">
      <x:alignment horizontal="center" vertical="center"/>
    </x:xf>
    <x:xf numFmtId="202" fontId="31" fillId="9" borderId="8" xfId="0" applyNumberFormat="1" applyFont="1" applyFill="1" applyBorder="1" applyAlignment="1">
      <x:alignment horizontal="center" vertical="center"/>
    </x:xf>
    <x:xf numFmtId="0" fontId="27" fillId="4" borderId="16" xfId="0" applyNumberFormat="1" applyFont="1" applyFill="1" applyBorder="1" applyAlignment="1">
      <x:alignment horizontal="center" vertical="center"/>
    </x:xf>
    <x:xf numFmtId="0" fontId="27" fillId="4" borderId="11" xfId="0" applyNumberFormat="1" applyFont="1" applyFill="1" applyBorder="1" applyAlignment="1">
      <x:alignment horizontal="center" vertical="center"/>
    </x:xf>
    <x:xf numFmtId="0" fontId="27" fillId="4" borderId="14" xfId="0" applyNumberFormat="1" applyFont="1" applyFill="1" applyBorder="1" applyAlignment="1">
      <x:alignment horizontal="center" vertical="center"/>
    </x:xf>
    <x:xf numFmtId="201" fontId="30" fillId="4" borderId="1" xfId="0" applyNumberFormat="1" applyFont="1" applyFill="1" applyBorder="1" applyAlignment="1">
      <x:alignment horizontal="center" vertical="center"/>
    </x:xf>
    <x:xf numFmtId="201" fontId="30" fillId="4" borderId="2" xfId="0" applyNumberFormat="1" applyFont="1" applyFill="1" applyBorder="1" applyAlignment="1">
      <x:alignment horizontal="center" vertical="center"/>
    </x:xf>
    <x:xf numFmtId="201" fontId="30" fillId="4" borderId="3" xfId="0" applyNumberFormat="1" applyFont="1" applyFill="1" applyBorder="1" applyAlignment="1">
      <x:alignment horizontal="center" vertical="center"/>
    </x:xf>
    <x:xf numFmtId="202" fontId="30" fillId="4" borderId="1" xfId="0" applyNumberFormat="1" applyFont="1" applyFill="1" applyBorder="1" applyAlignment="1">
      <x:alignment horizontal="center" vertical="center"/>
    </x:xf>
    <x:xf numFmtId="202" fontId="30" fillId="4" borderId="2" xfId="0" applyNumberFormat="1" applyFont="1" applyFill="1" applyBorder="1" applyAlignment="1">
      <x:alignment horizontal="center" vertical="center"/>
    </x:xf>
    <x:xf numFmtId="202" fontId="30" fillId="4" borderId="3" xfId="0" applyNumberFormat="1" applyFont="1" applyFill="1" applyBorder="1" applyAlignment="1">
      <x:alignment horizontal="center" vertical="center"/>
    </x:xf>
    <x:xf numFmtId="201" fontId="30" fillId="4" borderId="6" xfId="0" applyNumberFormat="1" applyFont="1" applyFill="1" applyBorder="1" applyAlignment="1">
      <x:alignment horizontal="center" vertical="center"/>
    </x:xf>
    <x:xf numFmtId="201" fontId="30" fillId="4" borderId="7" xfId="0" applyNumberFormat="1" applyFont="1" applyFill="1" applyBorder="1" applyAlignment="1">
      <x:alignment horizontal="center" vertical="center"/>
    </x:xf>
    <x:xf numFmtId="201" fontId="30" fillId="4" borderId="8" xfId="0" applyNumberFormat="1" applyFont="1" applyFill="1" applyBorder="1" applyAlignment="1">
      <x:alignment horizontal="center" vertical="center"/>
    </x:xf>
    <x:xf numFmtId="202" fontId="30" fillId="4" borderId="6" xfId="0" applyNumberFormat="1" applyFont="1" applyFill="1" applyBorder="1" applyAlignment="1">
      <x:alignment horizontal="center" vertical="center"/>
    </x:xf>
    <x:xf numFmtId="202" fontId="30" fillId="4" borderId="7" xfId="0" applyNumberFormat="1" applyFont="1" applyFill="1" applyBorder="1" applyAlignment="1">
      <x:alignment horizontal="center" vertical="center"/>
    </x:xf>
    <x:xf numFmtId="202" fontId="30" fillId="4" borderId="8" xfId="0" applyNumberFormat="1" applyFont="1" applyFill="1" applyBorder="1" applyAlignment="1">
      <x:alignment horizontal="center" vertical="center"/>
    </x:xf>
    <x:xf numFmtId="0" fontId="32" fillId="4" borderId="16" xfId="0" applyNumberFormat="1" applyFont="1" applyFill="1" applyBorder="1" applyAlignment="1">
      <x:alignment horizontal="left" vertical="center" wrapText="1"/>
    </x:xf>
    <x:xf numFmtId="0" fontId="32" fillId="4" borderId="11" xfId="0" applyNumberFormat="1" applyFont="1" applyFill="1" applyBorder="1" applyAlignment="1">
      <x:alignment horizontal="left" vertical="center" wrapText="1"/>
    </x:xf>
    <x:xf numFmtId="0" fontId="32" fillId="4" borderId="14" xfId="0" applyNumberFormat="1" applyFont="1" applyFill="1" applyBorder="1" applyAlignment="1">
      <x:alignment horizontal="left" vertical="center" wrapText="1"/>
    </x:xf>
    <x:xf numFmtId="0" fontId="33" fillId="4" borderId="16" xfId="0" applyNumberFormat="1" applyFont="1" applyFill="1" applyBorder="1" applyAlignment="1">
      <x:alignment horizontal="left" vertical="center" wrapText="1"/>
    </x:xf>
    <x:xf numFmtId="0" fontId="33" fillId="4" borderId="11" xfId="0" applyNumberFormat="1" applyFont="1" applyFill="1" applyBorder="1" applyAlignment="1">
      <x:alignment horizontal="left" vertical="center" wrapText="1"/>
    </x:xf>
    <x:xf numFmtId="0" fontId="33" fillId="4" borderId="14" xfId="0" applyNumberFormat="1" applyFont="1" applyFill="1" applyBorder="1" applyAlignment="1">
      <x:alignment horizontal="left" vertical="center" wrapText="1"/>
    </x:xf>
    <x:xf numFmtId="0" fontId="34" fillId="7" borderId="7" xfId="0" applyNumberFormat="1" applyFont="1" applyFill="1" applyBorder="1" applyAlignment="1">
      <x:alignment vertical="center"/>
    </x:xf>
    <x:xf numFmtId="0" fontId="33" fillId="7" borderId="7" xfId="0" applyNumberFormat="1" applyFont="1" applyFill="1" applyBorder="1" applyAlignment="1">
      <x:alignment vertical="center"/>
    </x:xf>
    <x:xf numFmtId="207" fontId="34" fillId="7" borderId="7" xfId="0" applyNumberFormat="1" applyFont="1" applyFill="1" applyBorder="1" applyAlignment="1">
      <x:alignment vertical="center"/>
    </x:xf>
    <x:xf numFmtId="0" fontId="34" fillId="7" borderId="11" xfId="0" applyNumberFormat="1" applyFont="1" applyFill="1" applyBorder="1" applyAlignment="1">
      <x:alignment vertical="center"/>
    </x:xf>
    <x:xf numFmtId="0" fontId="33" fillId="7" borderId="11" xfId="0" applyNumberFormat="1" applyFont="1" applyFill="1" applyBorder="1" applyAlignment="1">
      <x:alignment vertical="center"/>
    </x:xf>
    <x:xf numFmtId="207" fontId="34" fillId="7" borderId="11" xfId="0" applyNumberFormat="1" applyFont="1" applyFill="1" applyBorder="1" applyAlignment="1">
      <x:alignment vertical="center"/>
    </x:xf>
    <x:xf numFmtId="0" fontId="34" fillId="7" borderId="2" xfId="0" applyNumberFormat="1" applyFont="1" applyFill="1" applyBorder="1" applyAlignment="1">
      <x:alignment vertical="center"/>
    </x:xf>
    <x:xf numFmtId="0" fontId="33" fillId="7" borderId="2" xfId="0" applyNumberFormat="1" applyFont="1" applyFill="1" applyBorder="1" applyAlignment="1">
      <x:alignment vertical="center"/>
    </x:xf>
    <x:xf numFmtId="207" fontId="34" fillId="7" borderId="2" xfId="0" applyNumberFormat="1" applyFont="1" applyFill="1" applyBorder="1" applyAlignment="1">
      <x:alignment vertical="center"/>
    </x:xf>
    <x:xf numFmtId="0" fontId="35" fillId="6" borderId="18" xfId="0" applyNumberFormat="1" applyFont="1" applyFill="1" applyBorder="1" applyAlignment="1">
      <x:alignment horizontal="center" vertical="center"/>
    </x:xf>
    <x:xf numFmtId="0" fontId="35" fillId="6" borderId="19" xfId="0" applyNumberFormat="1" applyFont="1" applyFill="1" applyBorder="1" applyAlignment="1">
      <x:alignment horizontal="center" vertical="center"/>
    </x:xf>
    <x:xf numFmtId="0" fontId="35" fillId="6" borderId="2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8">
    <x:dxf>
      <x:font>
        <x:color rgb="FFB42318"/>
      </x:font>
      <x:fill>
        <x:patternFill patternType="solid">
          <x:bgColor rgb="FFFCE4DE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3447"/>
      </x:font>
      <x:fill>
        <x:patternFill patternType="solid">
          <x:bgColor rgb="FFFFF4CC"/>
        </x:patternFill>
      </x:fill>
    </x:dxf>
    <x:dxf>
      <x:font>
        <x:b/>
        <x:color rgb="FF2E7D32"/>
      </x:font>
      <x:fill>
        <x:patternFill patternType="solid">
          <x:bgColor rgb="FFE7F4E8"/>
        </x:patternFill>
      </x:fill>
    </x:dxf>
    <x:dxf>
      <x:font>
        <x:b/>
        <x:color rgb="FF243447"/>
      </x:font>
      <x:fill>
        <x:patternFill patternType="solid">
          <x:bgColor rgb="FFFFF4CC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E7D32"/>
      </x:font>
      <x:fill>
        <x:patternFill patternType="solid">
          <x:bgColor rgb="FFE7F4E8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f378eac66c496a" /><Relationship Type="http://schemas.openxmlformats.org/officeDocument/2006/relationships/theme" Target="/xl/theme/theme1.xml" Id="Rb827292f03e446a2" /><Relationship Type="http://schemas.openxmlformats.org/officeDocument/2006/relationships/sharedStrings" Target="/xl/sharedStrings.xml" Id="R9d15f423385b4a1c" /><Relationship Type="http://schemas.openxmlformats.org/officeDocument/2006/relationships/worksheet" Target="/xl/worksheets/sheet1.xml" Id="Rd48a98a431eb46dd" /><Relationship Type="http://schemas.openxmlformats.org/officeDocument/2006/relationships/worksheet" Target="/xl/worksheets/sheet2.xml" Id="R272742f7591541f1" /><Relationship Type="http://schemas.openxmlformats.org/officeDocument/2006/relationships/worksheet" Target="/xl/worksheets/sheet3.xml" Id="R831ab3fe6d42435f" /><Relationship Type="http://schemas.openxmlformats.org/officeDocument/2006/relationships/worksheet" Target="/xl/worksheets/sheet4.xml" Id="Raec6fe9110b74db3" /><Relationship Type="http://schemas.openxmlformats.org/officeDocument/2006/relationships/worksheet" Target="/xl/worksheets/sheet5.xml" Id="R3e9674f361844b57" /><Relationship Type="http://schemas.openxmlformats.org/officeDocument/2006/relationships/worksheet" Target="/xl/worksheets/sheet6.xml" Id="R60dabfe5588b474c" /><Relationship Type="http://schemas.openxmlformats.org/officeDocument/2006/relationships/worksheet" Target="/xl/worksheets/sheet7.xml" Id="R469ee9dd42d74e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cf0a8ddb054420d" /><Relationship Type="http://schemas.openxmlformats.org/officeDocument/2006/relationships/chart" Target="/xl/drawings/charts/chart2.xml" Id="R02d3efc9f04549c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月度净销售额与毛利润（CNY）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净销售额</c:v>
          </c:tx>
          <c:marker>
            <c:symbol val="none"/>
          </c:marker>
          <c:cat>
            <c:strRef>
              <c:f>'月度分析'!$A$32:$A$34</c:f>
              <c:strCache>
                <c:ptCount val="0"/>
              </c:strCache>
            </c:strRef>
          </c:cat>
          <c:val>
            <c:numRef>
              <c:f>'月度分析'!$B$32:$B$34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毛利润</c:v>
          </c:tx>
          <c:marker>
            <c:symbol val="none"/>
          </c:marker>
          <c:cat>
            <c:strRef>
              <c:f>'月度分析'!$A$32:$A$34</c:f>
              <c:strCache>
                <c:ptCount val="0"/>
              </c:strCache>
            </c:strRef>
          </c:cat>
          <c:val>
            <c:numRef>
              <c:f>'月度分析'!$C$32:$C$34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渠道净销售额（CNY）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净销售额</c:v>
          </c:tx>
          <c:cat>
            <c:strRef>
              <c:f>'月度分析'!$I$32:$I$35</c:f>
              <c:strCache>
                <c:ptCount val="0"/>
              </c:strCache>
            </c:strRef>
          </c:cat>
          <c:val>
            <c:numRef>
              <c:f>'月度分析'!$J$32:$J$35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f0a8ddb054420d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15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d3efc9f04549c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moOrdersTable" displayName="DemoOrdersTable" ref="A4:K229" headerRowCount="1" totalsRowCount="0" totalsRowShown="0">
  <x:tableColumns count="11">
    <x:tableColumn id="1" name="订单日期"/>
    <x:tableColumn id="2" name="订单号"/>
    <x:tableColumn id="3" name="客户ID"/>
    <x:tableColumn id="4" name="渠道"/>
    <x:tableColumn id="5" name="产品"/>
    <x:tableColumn id="6" name="数量"/>
    <x:tableColumn id="7" name="含税单价"/>
    <x:tableColumn id="8" name="折扣率"/>
    <x:tableColumn id="9" name="退款标记"/>
    <x:tableColumn id="10" name="单位成本"/>
    <x:tableColumn id="11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moAdSpendTable" displayName="DemoAdSpendTable" ref="A4:E16" headerRowCount="1" totalsRowCount="0" totalsRowShown="0">
  <x:tableColumns count="5">
    <x:tableColumn id="1" name="月份"/>
    <x:tableColumn id="2" name="渠道"/>
    <x:tableColumn id="3" name="广告投入"/>
    <x:tableColumn id="4" name="点击"/>
    <x:tableColumn id="5" name="新客数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DemoProcessedTable" displayName="DemoProcessedTable" ref="A4:S229" headerRowCount="1" totalsRowCount="0" totalsRowShown="0">
  <x:tableColumns count="19">
    <x:tableColumn id="1" name="订单日期"/>
    <x:tableColumn id="2" name="月份"/>
    <x:tableColumn id="3" name="订单号"/>
    <x:tableColumn id="4" name="客户ID"/>
    <x:tableColumn id="5" name="渠道"/>
    <x:tableColumn id="6" name="产品"/>
    <x:tableColumn id="7" name="数量"/>
    <x:tableColumn id="8" name="含税单价"/>
    <x:tableColumn id="9" name="折扣率"/>
    <x:tableColumn id="10" name="退款标记"/>
    <x:tableColumn id="11" name="单位成本"/>
    <x:tableColumn id="12" name="商品原价"/>
    <x:tableColumn id="13" name="折扣金额"/>
    <x:tableColumn id="14" name="退款金额"/>
    <x:tableColumn id="15" name="净销售额"/>
    <x:tableColumn id="16" name="有效成本"/>
    <x:tableColumn id="17" name="毛利润"/>
    <x:tableColumn id="18" name="毛利率"/>
    <x:tableColumn id="19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281077e3af43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7edbeb852143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2df21d449a4e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0c0c803adadc47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2" hidden="0" customWidth="1"/>
    <x:col min="3" max="3" width="14" hidden="0" customWidth="1"/>
    <x:col min="4" max="4" width="16" hidden="0" customWidth="1"/>
    <x:col min="5" max="5" width="22" hidden="0" customWidth="1"/>
    <x:col min="6" max="6" width="12" hidden="0" customWidth="1"/>
    <x:col min="7" max="7" width="12" hidden="0" customWidth="1"/>
    <x:col min="8" max="8" width="24" hidden="0" customWidth="1"/>
  </x:cols>
  <x:sheetData>
    <x:row r="1" ht="36" customHeight="1">
      <x:c r="A1" s="98" t="str">
        <x:v>AI 经营数据自动分析演示</x:v>
      </x:c>
      <x:c r="B1" s="98" t="str">
        <x:v>AI 经营数据自动分析演示</x:v>
      </x:c>
      <x:c r="C1" s="98" t="str">
        <x:v>AI 经营数据自动分析演示</x:v>
      </x:c>
      <x:c r="D1" s="98" t="str">
        <x:v>AI 经营数据自动分析演示</x:v>
      </x:c>
      <x:c r="E1" s="98" t="str">
        <x:v>AI 经营数据自动分析演示</x:v>
      </x:c>
      <x:c r="F1" s="98" t="str">
        <x:v>AI 经营数据自动分析演示</x:v>
      </x:c>
      <x:c r="G1" s="98" t="str">
        <x:v>AI 经营数据自动分析演示</x:v>
      </x:c>
      <x:c r="H1" s="98" t="str">
        <x:v>AI 经营数据自动分析演示</x:v>
      </x:c>
    </x:row>
    <x:row r="2" ht="24" customHeight="1">
      <x:c r="A2" s="99" t="str">
        <x:v>模拟电商业务｜版本 1.0｜生成日期 2026-08-24｜所有数据均为演示数据</x:v>
      </x:c>
      <x:c r="B2" s="99" t="str">
        <x:v>模拟电商业务｜版本 1.0｜生成日期 2026-08-24｜所有数据均为演示数据</x:v>
      </x:c>
      <x:c r="C2" s="99" t="str">
        <x:v>模拟电商业务｜版本 1.0｜生成日期 2026-08-24｜所有数据均为演示数据</x:v>
      </x:c>
      <x:c r="D2" s="99" t="str">
        <x:v>模拟电商业务｜版本 1.0｜生成日期 2026-08-24｜所有数据均为演示数据</x:v>
      </x:c>
      <x:c r="E2" s="99" t="str">
        <x:v>模拟电商业务｜版本 1.0｜生成日期 2026-08-24｜所有数据均为演示数据</x:v>
      </x:c>
      <x:c r="F2" s="99" t="str">
        <x:v>模拟电商业务｜版本 1.0｜生成日期 2026-08-24｜所有数据均为演示数据</x:v>
      </x:c>
      <x:c r="G2" s="99" t="str">
        <x:v>模拟电商业务｜版本 1.0｜生成日期 2026-08-24｜所有数据均为演示数据</x:v>
      </x:c>
      <x:c r="H2" s="99" t="str">
        <x:v>模拟电商业务｜版本 1.0｜生成日期 2026-08-24｜所有数据均为演示数据</x:v>
      </x:c>
    </x:row>
    <x:row r="3">
      <x:c r="A3" s="100"/>
      <x:c r="B3" s="100"/>
      <x:c r="C3" s="100"/>
      <x:c r="D3" s="100"/>
      <x:c r="E3" s="100"/>
      <x:c r="F3" s="100"/>
      <x:c r="G3" s="100"/>
      <x:c r="H3" s="100"/>
    </x:row>
    <x:row r="4" ht="26" customHeight="1">
      <x:c r="A4" s="101" t="str">
        <x:v>这个工作簿解决什么问题</x:v>
      </x:c>
      <x:c r="B4" s="101" t="str">
        <x:v>这个工作簿解决什么问题</x:v>
      </x:c>
      <x:c r="C4" s="101" t="str">
        <x:v>这个工作簿解决什么问题</x:v>
      </x:c>
      <x:c r="D4" s="101" t="str">
        <x:v>这个工作簿解决什么问题</x:v>
      </x:c>
      <x:c r="E4" s="101" t="str">
        <x:v>这个工作簿解决什么问题</x:v>
      </x:c>
      <x:c r="F4" s="101" t="str">
        <x:v>这个工作簿解决什么问题</x:v>
      </x:c>
      <x:c r="G4" s="101" t="str">
        <x:v>这个工作簿解决什么问题</x:v>
      </x:c>
      <x:c r="H4" s="101" t="str">
        <x:v>这个工作簿解决什么问题</x:v>
      </x:c>
    </x:row>
    <x:row r="5">
      <x:c r="A5" s="102" t="str">
        <x:v>把客户导出的订单与广告表，自动转换为可复算的经营指标、渠道与产品分析、异常提示和管理结论。原始数据与计算层分离，客户只需替换黄色输入区，其他页面由公式更新。</x:v>
      </x:c>
      <x:c r="B5" s="103" t="str">
        <x:v>把客户导出的订单与广告表，自动转换为可复算的经营指标、渠道与产品分析、异常提示和管理结论。原始数据与计算层分离，客户只需替换黄色输入区，其他页面由公式更新。</x:v>
      </x:c>
      <x:c r="C5" s="103" t="str">
        <x:v>把客户导出的订单与广告表，自动转换为可复算的经营指标、渠道与产品分析、异常提示和管理结论。原始数据与计算层分离，客户只需替换黄色输入区，其他页面由公式更新。</x:v>
      </x:c>
      <x:c r="D5" s="103" t="str">
        <x:v>把客户导出的订单与广告表，自动转换为可复算的经营指标、渠道与产品分析、异常提示和管理结论。原始数据与计算层分离，客户只需替换黄色输入区，其他页面由公式更新。</x:v>
      </x:c>
      <x:c r="E5" s="103" t="str">
        <x:v>把客户导出的订单与广告表，自动转换为可复算的经营指标、渠道与产品分析、异常提示和管理结论。原始数据与计算层分离，客户只需替换黄色输入区，其他页面由公式更新。</x:v>
      </x:c>
      <x:c r="F5" s="103" t="str">
        <x:v>把客户导出的订单与广告表，自动转换为可复算的经营指标、渠道与产品分析、异常提示和管理结论。原始数据与计算层分离，客户只需替换黄色输入区，其他页面由公式更新。</x:v>
      </x:c>
      <x:c r="G5" s="103" t="str">
        <x:v>把客户导出的订单与广告表，自动转换为可复算的经营指标、渠道与产品分析、异常提示和管理结论。原始数据与计算层分离，客户只需替换黄色输入区，其他页面由公式更新。</x:v>
      </x:c>
      <x:c r="H5" s="104" t="str">
        <x:v>把客户导出的订单与广告表，自动转换为可复算的经营指标、渠道与产品分析、异常提示和管理结论。原始数据与计算层分离，客户只需替换黄色输入区，其他页面由公式更新。</x:v>
      </x:c>
    </x:row>
    <x:row r="6">
      <x:c r="A6" s="105" t="str">
        <x:v>把客户导出的订单与广告表，自动转换为可复算的经营指标、渠道与产品分析、异常提示和管理结论。原始数据与计算层分离，客户只需替换黄色输入区，其他页面由公式更新。</x:v>
      </x:c>
      <x:c r="B6" s="106" t="str">
        <x:v>把客户导出的订单与广告表，自动转换为可复算的经营指标、渠道与产品分析、异常提示和管理结论。原始数据与计算层分离，客户只需替换黄色输入区，其他页面由公式更新。</x:v>
      </x:c>
      <x:c r="C6" s="106" t="str">
        <x:v>把客户导出的订单与广告表，自动转换为可复算的经营指标、渠道与产品分析、异常提示和管理结论。原始数据与计算层分离，客户只需替换黄色输入区，其他页面由公式更新。</x:v>
      </x:c>
      <x:c r="D6" s="106" t="str">
        <x:v>把客户导出的订单与广告表，自动转换为可复算的经营指标、渠道与产品分析、异常提示和管理结论。原始数据与计算层分离，客户只需替换黄色输入区，其他页面由公式更新。</x:v>
      </x:c>
      <x:c r="E6" s="106" t="str">
        <x:v>把客户导出的订单与广告表，自动转换为可复算的经营指标、渠道与产品分析、异常提示和管理结论。原始数据与计算层分离，客户只需替换黄色输入区，其他页面由公式更新。</x:v>
      </x:c>
      <x:c r="F6" s="106" t="str">
        <x:v>把客户导出的订单与广告表，自动转换为可复算的经营指标、渠道与产品分析、异常提示和管理结论。原始数据与计算层分离，客户只需替换黄色输入区，其他页面由公式更新。</x:v>
      </x:c>
      <x:c r="G6" s="106" t="str">
        <x:v>把客户导出的订单与广告表，自动转换为可复算的经营指标、渠道与产品分析、异常提示和管理结论。原始数据与计算层分离，客户只需替换黄色输入区，其他页面由公式更新。</x:v>
      </x:c>
      <x:c r="H6" s="107" t="str">
        <x:v>把客户导出的订单与广告表，自动转换为可复算的经营指标、渠道与产品分析、异常提示和管理结论。原始数据与计算层分离，客户只需替换黄色输入区，其他页面由公式更新。</x:v>
      </x:c>
    </x:row>
    <x:row r="7">
      <x:c r="A7" s="108" t="str">
        <x:v>把客户导出的订单与广告表，自动转换为可复算的经营指标、渠道与产品分析、异常提示和管理结论。原始数据与计算层分离，客户只需替换黄色输入区，其他页面由公式更新。</x:v>
      </x:c>
      <x:c r="B7" s="109" t="str">
        <x:v>把客户导出的订单与广告表，自动转换为可复算的经营指标、渠道与产品分析、异常提示和管理结论。原始数据与计算层分离，客户只需替换黄色输入区，其他页面由公式更新。</x:v>
      </x:c>
      <x:c r="C7" s="109" t="str">
        <x:v>把客户导出的订单与广告表，自动转换为可复算的经营指标、渠道与产品分析、异常提示和管理结论。原始数据与计算层分离，客户只需替换黄色输入区，其他页面由公式更新。</x:v>
      </x:c>
      <x:c r="D7" s="109" t="str">
        <x:v>把客户导出的订单与广告表，自动转换为可复算的经营指标、渠道与产品分析、异常提示和管理结论。原始数据与计算层分离，客户只需替换黄色输入区，其他页面由公式更新。</x:v>
      </x:c>
      <x:c r="E7" s="109" t="str">
        <x:v>把客户导出的订单与广告表，自动转换为可复算的经营指标、渠道与产品分析、异常提示和管理结论。原始数据与计算层分离，客户只需替换黄色输入区，其他页面由公式更新。</x:v>
      </x:c>
      <x:c r="F7" s="109" t="str">
        <x:v>把客户导出的订单与广告表，自动转换为可复算的经营指标、渠道与产品分析、异常提示和管理结论。原始数据与计算层分离，客户只需替换黄色输入区，其他页面由公式更新。</x:v>
      </x:c>
      <x:c r="G7" s="109" t="str">
        <x:v>把客户导出的订单与广告表，自动转换为可复算的经营指标、渠道与产品分析、异常提示和管理结论。原始数据与计算层分离，客户只需替换黄色输入区，其他页面由公式更新。</x:v>
      </x:c>
      <x:c r="H7" s="110" t="str">
        <x:v>把客户导出的订单与广告表，自动转换为可复算的经营指标、渠道与产品分析、异常提示和管理结论。原始数据与计算层分离，客户只需替换黄色输入区，其他页面由公式更新。</x:v>
      </x:c>
    </x:row>
    <x:row r="8" ht="15" hidden="0" customHeight="1">
      <x:c r="A8" s="100"/>
      <x:c r="B8" s="100"/>
      <x:c r="C8" s="100"/>
      <x:c r="D8" s="100"/>
      <x:c r="E8" s="100"/>
      <x:c r="F8" s="100"/>
      <x:c r="G8" s="100"/>
      <x:c r="H8" s="100"/>
    </x:row>
    <x:row r="9" ht="15" hidden="0" customHeight="1">
      <x:c r="A9" s="101" t="str">
        <x:v>更新流程</x:v>
      </x:c>
      <x:c r="B9" s="101" t="str">
        <x:v>更新流程</x:v>
      </x:c>
      <x:c r="C9" s="101" t="str">
        <x:v>更新流程</x:v>
      </x:c>
      <x:c r="D9" s="101" t="str">
        <x:v>关键指标定义与假设</x:v>
      </x:c>
      <x:c r="E9" s="101" t="str">
        <x:v>关键指标定义与假设</x:v>
      </x:c>
      <x:c r="F9" s="101" t="str">
        <x:v>关键指标定义与假设</x:v>
      </x:c>
      <x:c r="G9" s="101" t="str">
        <x:v>关键指标定义与假设</x:v>
      </x:c>
      <x:c r="H9" s="101" t="str">
        <x:v>关键指标定义与假设</x:v>
      </x:c>
    </x:row>
    <x:row r="10" ht="15" hidden="0" customHeight="1">
      <x:c r="A10" s="111" t="str">
        <x:v>步骤</x:v>
      </x:c>
      <x:c r="B10" s="112" t="str">
        <x:v>操作</x:v>
      </x:c>
      <x:c r="C10" s="100"/>
      <x:c r="D10" s="111" t="str">
        <x:v>指标/假设</x:v>
      </x:c>
      <x:c r="E10" s="113" t="str">
        <x:v>定义</x:v>
      </x:c>
      <x:c r="F10" s="113" t="str">
        <x:v>单位</x:v>
      </x:c>
      <x:c r="G10" s="113" t="str">
        <x:v>可编辑</x:v>
      </x:c>
      <x:c r="H10" s="112" t="str">
        <x:v>说明</x:v>
      </x:c>
    </x:row>
    <x:row r="11" ht="15" hidden="0" customHeight="1">
      <x:c r="A11" s="114" t="str">
        <x:v>1</x:v>
      </x:c>
      <x:c r="B11" s="115" t="str">
        <x:v>在“原始订单”粘贴订单导出，保留字段顺序与数据类型。</x:v>
      </x:c>
      <x:c r="C11" s="100"/>
      <x:c r="D11" s="116" t="str">
        <x:v>净销售额</x:v>
      </x:c>
      <x:c r="E11" s="117" t="str">
        <x:v>商品原价－折扣－退款</x:v>
      </x:c>
      <x:c r="F11" s="117" t="str">
        <x:v>CNY</x:v>
      </x:c>
      <x:c r="G11" s="117" t="str">
        <x:v>否</x:v>
      </x:c>
      <x:c r="H11" s="118" t="str">
        <x:v>退款订单收入记为 0</x:v>
      </x:c>
    </x:row>
    <x:row r="12" ht="15" hidden="0" customHeight="1">
      <x:c r="A12" s="114" t="str">
        <x:v>2</x:v>
      </x:c>
      <x:c r="B12" s="119" t="str">
        <x:v>在“广告投入”粘贴每月各渠道投入、点击和新客数。</x:v>
      </x:c>
      <x:c r="C12" s="100"/>
      <x:c r="D12" s="120" t="str">
        <x:v>毛利润</x:v>
      </x:c>
      <x:c r="E12" s="121" t="str">
        <x:v>净销售额－有效订单销售成本</x:v>
      </x:c>
      <x:c r="F12" s="121" t="str">
        <x:v>CNY</x:v>
      </x:c>
      <x:c r="G12" s="121" t="str">
        <x:v>否</x:v>
      </x:c>
      <x:c r="H12" s="122" t="str">
        <x:v>不含履约、平台与税费</x:v>
      </x:c>
    </x:row>
    <x:row r="13" ht="15" hidden="0" customHeight="1">
      <x:c r="A13" s="114" t="str">
        <x:v>3</x:v>
      </x:c>
      <x:c r="B13" s="119" t="str">
        <x:v>确认“数据处理”的公式覆盖全部订单行。</x:v>
      </x:c>
      <x:c r="C13" s="100"/>
      <x:c r="D13" s="120" t="str">
        <x:v>ROAS</x:v>
      </x:c>
      <x:c r="E13" s="121" t="str">
        <x:v>净销售额÷广告投入</x:v>
      </x:c>
      <x:c r="F13" s="121" t="str">
        <x:v>倍</x:v>
      </x:c>
      <x:c r="G13" s="121" t="str">
        <x:v>否</x:v>
      </x:c>
      <x:c r="H13" s="122" t="str">
        <x:v>用于渠道获客效率观察</x:v>
      </x:c>
    </x:row>
    <x:row r="14" ht="26.399999618530273" hidden="0" customHeight="1">
      <x:c r="A14" s="114" t="str">
        <x:v>4</x:v>
      </x:c>
      <x:c r="B14" s="123" t="str">
        <x:v>查看“经营仪表盘”和“检查控制”；仅在状态为 PASS 时对外发送。</x:v>
      </x:c>
      <x:c r="C14" s="100"/>
      <x:c r="D14" s="120" t="str">
        <x:v>CAC</x:v>
      </x:c>
      <x:c r="E14" s="121" t="str">
        <x:v>广告投入÷新客数</x:v>
      </x:c>
      <x:c r="F14" s="121" t="str">
        <x:v>CNY/人</x:v>
      </x:c>
      <x:c r="G14" s="121" t="str">
        <x:v>否</x:v>
      </x:c>
      <x:c r="H14" s="122" t="str">
        <x:v>新客数来自广告投入表</x:v>
      </x:c>
    </x:row>
    <x:row r="15" ht="15" hidden="0" customHeight="1">
      <x:c r="A15" s="100"/>
      <x:c r="B15" s="100"/>
      <x:c r="C15" s="100"/>
      <x:c r="D15" s="120" t="str">
        <x:v>退款成本</x:v>
      </x:c>
      <x:c r="E15" s="121" t="str">
        <x:v>假设退款商品可重新入库</x:v>
      </x:c>
      <x:c r="F15" s="121" t="str">
        <x:v>CNY</x:v>
      </x:c>
      <x:c r="G15" s="124" t="str">
        <x:v>是</x:v>
      </x:c>
      <x:c r="H15" s="122" t="str">
        <x:v>因此退款订单销售成本记为 0</x:v>
      </x:c>
    </x:row>
    <x:row r="16" ht="15" hidden="0" customHeight="1">
      <x:c r="A16" s="100"/>
      <x:c r="B16" s="100"/>
      <x:c r="C16" s="100"/>
      <x:c r="D16" s="125" t="str">
        <x:v>数据性质</x:v>
      </x:c>
      <x:c r="E16" s="126" t="str">
        <x:v>完全模拟，不代表任何真实店铺</x:v>
      </x:c>
      <x:c r="F16" s="126" t="str">
        <x:v>-</x:v>
      </x:c>
      <x:c r="G16" s="126" t="str">
        <x:v>否</x:v>
      </x:c>
      <x:c r="H16" s="127" t="str">
        <x:v>只能用于演示与测试</x:v>
      </x:c>
    </x:row>
    <x:row r="17" ht="15" hidden="0" customHeight="1">
      <x:c r="A17" s="100"/>
      <x:c r="B17" s="100"/>
      <x:c r="C17" s="100"/>
      <x:c r="D17" s="100"/>
      <x:c r="E17" s="100"/>
      <x:c r="F17" s="100"/>
      <x:c r="G17" s="100"/>
      <x:c r="H17" s="100"/>
    </x:row>
    <x:row r="18" ht="15" hidden="0" customHeight="1">
      <x:c r="A18" s="101" t="str">
        <x:v>工作表导航</x:v>
      </x:c>
      <x:c r="B18" s="101" t="str">
        <x:v>工作表导航</x:v>
      </x:c>
      <x:c r="C18" s="101" t="str">
        <x:v>工作表导航</x:v>
      </x:c>
      <x:c r="D18" s="101" t="str">
        <x:v>工作表导航</x:v>
      </x:c>
      <x:c r="E18" s="101" t="str">
        <x:v>工作表导航</x:v>
      </x:c>
      <x:c r="F18" s="101" t="str">
        <x:v>工作表导航</x:v>
      </x:c>
      <x:c r="G18" s="101" t="str">
        <x:v>工作表导航</x:v>
      </x:c>
      <x:c r="H18" s="101" t="str">
        <x:v>工作表导航</x:v>
      </x:c>
    </x:row>
    <x:row r="19" ht="15" hidden="0" customHeight="1">
      <x:c r="A19" s="111" t="str">
        <x:v>工作表</x:v>
      </x:c>
      <x:c r="B19" s="113" t="str">
        <x:v>用途</x:v>
      </x:c>
      <x:c r="C19" s="113" t="str">
        <x:v>是否直接编辑</x:v>
      </x:c>
      <x:c r="D19" s="113" t="str">
        <x:v>刷新频率</x:v>
      </x:c>
      <x:c r="E19" s="113" t="str">
        <x:v>检查点</x:v>
      </x:c>
      <x:c r="F19" s="113" t="str">
        <x:v>输出对象</x:v>
      </x:c>
      <x:c r="G19" s="113" t="str">
        <x:v>数据来源</x:v>
      </x:c>
      <x:c r="H19" s="112" t="str">
        <x:v>备注</x:v>
      </x:c>
    </x:row>
    <x:row r="20" ht="15" hidden="0" customHeight="1">
      <x:c r="A20" s="116" t="str">
        <x:v>原始订单</x:v>
      </x:c>
      <x:c r="B20" s="117" t="str">
        <x:v>保留客户导出的订单原貌</x:v>
      </x:c>
      <x:c r="C20" s="117" t="str">
        <x:v>是</x:v>
      </x:c>
      <x:c r="D20" s="117" t="str">
        <x:v>每次更新</x:v>
      </x:c>
      <x:c r="E20" s="117" t="str">
        <x:v>订单数与字段类型</x:v>
      </x:c>
      <x:c r="F20" s="117" t="str">
        <x:v>数据处理</x:v>
      </x:c>
      <x:c r="G20" s="117" t="str">
        <x:v>客户导出</x:v>
      </x:c>
      <x:c r="H20" s="118" t="str">
        <x:v>黄色区域</x:v>
      </x:c>
    </x:row>
    <x:row r="21" ht="15" hidden="0" customHeight="1">
      <x:c r="A21" s="120" t="str">
        <x:v>广告投入</x:v>
      </x:c>
      <x:c r="B21" s="121" t="str">
        <x:v>渠道月度投入与新客数据</x:v>
      </x:c>
      <x:c r="C21" s="121" t="str">
        <x:v>是</x:v>
      </x:c>
      <x:c r="D21" s="121" t="str">
        <x:v>每月</x:v>
      </x:c>
      <x:c r="E21" s="121" t="str">
        <x:v>月份与渠道完整</x:v>
      </x:c>
      <x:c r="F21" s="121" t="str">
        <x:v>月度分析</x:v>
      </x:c>
      <x:c r="G21" s="121" t="str">
        <x:v>广告平台</x:v>
      </x:c>
      <x:c r="H21" s="122" t="str">
        <x:v>黄色区域</x:v>
      </x:c>
    </x:row>
    <x:row r="22" ht="15" hidden="0" customHeight="1">
      <x:c r="A22" s="120" t="str">
        <x:v>数据处理</x:v>
      </x:c>
      <x:c r="B22" s="121" t="str">
        <x:v>计算收入、成本、利润与状态</x:v>
      </x:c>
      <x:c r="C22" s="121" t="str">
        <x:v>否</x:v>
      </x:c>
      <x:c r="D22" s="121" t="str">
        <x:v>自动</x:v>
      </x:c>
      <x:c r="E22" s="121" t="str">
        <x:v>公式覆盖全部行</x:v>
      </x:c>
      <x:c r="F22" s="121" t="str">
        <x:v>月度分析</x:v>
      </x:c>
      <x:c r="G22" s="121" t="str">
        <x:v>原始订单</x:v>
      </x:c>
      <x:c r="H22" s="122" t="str">
        <x:v>公式区</x:v>
      </x:c>
    </x:row>
    <x:row r="23" ht="15" hidden="0" customHeight="1">
      <x:c r="A23" s="120" t="str">
        <x:v>月度分析</x:v>
      </x:c>
      <x:c r="B23" s="121" t="str">
        <x:v>按月、渠道、产品汇总</x:v>
      </x:c>
      <x:c r="C23" s="121" t="str">
        <x:v>否</x:v>
      </x:c>
      <x:c r="D23" s="121" t="str">
        <x:v>自动</x:v>
      </x:c>
      <x:c r="E23" s="121" t="str">
        <x:v>合计与数据处理一致</x:v>
      </x:c>
      <x:c r="F23" s="121" t="str">
        <x:v>经营仪表盘</x:v>
      </x:c>
      <x:c r="G23" s="121" t="str">
        <x:v>计算层</x:v>
      </x:c>
      <x:c r="H23" s="122" t="str">
        <x:v>管理分析</x:v>
      </x:c>
    </x:row>
    <x:row r="24" ht="15" hidden="0" customHeight="1">
      <x:c r="A24" s="125" t="str">
        <x:v>经营仪表盘</x:v>
      </x:c>
      <x:c r="B24" s="126" t="str">
        <x:v>展示 KPI、趋势和自动结论</x:v>
      </x:c>
      <x:c r="C24" s="126" t="str">
        <x:v>否</x:v>
      </x:c>
      <x:c r="D24" s="126" t="str">
        <x:v>自动</x:v>
      </x:c>
      <x:c r="E24" s="126" t="str">
        <x:v>关键数字可见</x:v>
      </x:c>
      <x:c r="F24" s="126" t="str">
        <x:v>管理层</x:v>
      </x:c>
      <x:c r="G24" s="126" t="str">
        <x:v>月度分析</x:v>
      </x:c>
      <x:c r="H24" s="127" t="str">
        <x:v>对外页面</x:v>
      </x:c>
    </x:row>
  </x:sheetData>
  <x:mergeCells>
    <x:mergeCell ref="A1:H1"/>
    <x:mergeCell ref="A2:H2"/>
    <x:mergeCell ref="A4:H4"/>
    <x:mergeCell ref="A5:H7"/>
    <x:mergeCell ref="A9:H9"/>
    <x:mergeCell ref="D9:H9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1" hidden="0" customWidth="1"/>
    <x:col min="4" max="4" width="14" hidden="0" customWidth="1"/>
    <x:col min="5" max="5" width="16" hidden="0" customWidth="1"/>
    <x:col min="6" max="6" width="8" hidden="0" customWidth="1"/>
    <x:col min="7" max="7" width="12" hidden="0" customWidth="1"/>
    <x:col min="8" max="8" width="10" hidden="0" customWidth="1"/>
    <x:col min="9" max="9" width="11" hidden="0" customWidth="1"/>
    <x:col min="10" max="10" width="11" hidden="0" customWidth="1"/>
    <x:col min="11" max="11" width="18" hidden="0" customWidth="1"/>
  </x:cols>
  <x:sheetData>
    <x:row r="1" ht="36" customHeight="1">
      <x:c r="A1" s="98" t="str">
        <x:v>原始订单</x:v>
      </x:c>
      <x:c r="B1" s="98" t="str">
        <x:v>原始订单</x:v>
      </x:c>
      <x:c r="C1" s="98" t="str">
        <x:v>原始订单</x:v>
      </x:c>
      <x:c r="D1" s="98" t="str">
        <x:v>原始订单</x:v>
      </x:c>
      <x:c r="E1" s="98" t="str">
        <x:v>原始订单</x:v>
      </x:c>
      <x:c r="F1" s="98" t="str">
        <x:v>原始订单</x:v>
      </x:c>
      <x:c r="G1" s="98" t="str">
        <x:v>原始订单</x:v>
      </x:c>
      <x:c r="H1" s="98" t="str">
        <x:v>原始订单</x:v>
      </x:c>
      <x:c r="I1" s="98" t="str">
        <x:v>原始订单</x:v>
      </x:c>
      <x:c r="J1" s="98" t="str">
        <x:v>原始订单</x:v>
      </x:c>
      <x:c r="K1" s="98" t="str">
        <x:v>原始订单</x:v>
      </x:c>
    </x:row>
    <x:row r="2" ht="24" customHeight="1">
      <x:c r="A2" s="99" t="str">
        <x:v>模拟订单明细｜225 行｜黄色区域为输入区，保持原始数据不变</x:v>
      </x:c>
      <x:c r="B2" s="99" t="str">
        <x:v>模拟订单明细｜225 行｜黄色区域为输入区，保持原始数据不变</x:v>
      </x:c>
      <x:c r="C2" s="99" t="str">
        <x:v>模拟订单明细｜225 行｜黄色区域为输入区，保持原始数据不变</x:v>
      </x:c>
      <x:c r="D2" s="99" t="str">
        <x:v>模拟订单明细｜225 行｜黄色区域为输入区，保持原始数据不变</x:v>
      </x:c>
      <x:c r="E2" s="99" t="str">
        <x:v>模拟订单明细｜225 行｜黄色区域为输入区，保持原始数据不变</x:v>
      </x:c>
      <x:c r="F2" s="99" t="str">
        <x:v>模拟订单明细｜225 行｜黄色区域为输入区，保持原始数据不变</x:v>
      </x:c>
      <x:c r="G2" s="99" t="str">
        <x:v>模拟订单明细｜225 行｜黄色区域为输入区，保持原始数据不变</x:v>
      </x:c>
      <x:c r="H2" s="99" t="str">
        <x:v>模拟订单明细｜225 行｜黄色区域为输入区，保持原始数据不变</x:v>
      </x:c>
      <x:c r="I2" s="99" t="str">
        <x:v>模拟订单明细｜225 行｜黄色区域为输入区，保持原始数据不变</x:v>
      </x:c>
      <x:c r="J2" s="99" t="str">
        <x:v>模拟订单明细｜225 行｜黄色区域为输入区，保持原始数据不变</x:v>
      </x:c>
      <x:c r="K2" s="99" t="str">
        <x:v>模拟订单明细｜225 行｜黄色区域为输入区，保持原始数据不变</x:v>
      </x:c>
    </x:row>
    <x:row r="3">
      <x:c r="A3" s="100"/>
      <x:c r="B3" s="100"/>
      <x:c r="C3" s="100"/>
      <x:c r="D3" s="100"/>
      <x:c r="E3" s="100"/>
      <x:c r="F3" s="100"/>
      <x:c r="G3" s="100"/>
      <x:c r="H3" s="100"/>
      <x:c r="I3" s="100"/>
      <x:c r="J3" s="100"/>
      <x:c r="K3" s="100"/>
    </x:row>
    <x:row r="4" ht="28" customHeight="1">
      <x:c r="A4" s="111" t="str">
        <x:v>订单日期</x:v>
      </x:c>
      <x:c r="B4" s="113" t="str">
        <x:v>订单号</x:v>
      </x:c>
      <x:c r="C4" s="113" t="str">
        <x:v>客户ID</x:v>
      </x:c>
      <x:c r="D4" s="113" t="str">
        <x:v>渠道</x:v>
      </x:c>
      <x:c r="E4" s="113" t="str">
        <x:v>产品</x:v>
      </x:c>
      <x:c r="F4" s="113" t="str">
        <x:v>数量</x:v>
      </x:c>
      <x:c r="G4" s="113" t="str">
        <x:v>含税单价</x:v>
      </x:c>
      <x:c r="H4" s="113" t="str">
        <x:v>折扣率</x:v>
      </x:c>
      <x:c r="I4" s="113" t="str">
        <x:v>退款标记</x:v>
      </x:c>
      <x:c r="J4" s="113" t="str">
        <x:v>单位成本</x:v>
      </x:c>
      <x:c r="K4" s="112" t="str">
        <x:v>备注</x:v>
      </x:c>
    </x:row>
    <x:row r="5">
      <x:c r="A5" s="461" t="n">
        <x:v>46143</x:v>
      </x:c>
      <x:c r="B5" s="462" t="str">
        <x:v>D20260001</x:v>
      </x:c>
      <x:c r="C5" s="462" t="str">
        <x:v>C1067</x:v>
      </x:c>
      <x:c r="D5" s="462" t="str">
        <x:v>自然搜索</x:v>
      </x:c>
      <x:c r="E5" s="462" t="str">
        <x:v>桌面收纳架</x:v>
      </x:c>
      <x:c r="F5" s="463" t="n">
        <x:v>1</x:v>
      </x:c>
      <x:c r="G5" s="463" t="n">
        <x:v>89</x:v>
      </x:c>
      <x:c r="H5" s="464" t="n">
        <x:v>0.1</x:v>
      </x:c>
      <x:c r="I5" s="465" t="n">
        <x:v>0</x:v>
      </x:c>
      <x:c r="J5" s="463" t="n">
        <x:v>32</x:v>
      </x:c>
      <x:c r="K5" s="462" t="str"/>
    </x:row>
    <x:row r="6">
      <x:c r="A6" s="466" t="n">
        <x:v>46143</x:v>
      </x:c>
      <x:c r="B6" s="467" t="str">
        <x:v>D20260002</x:v>
      </x:c>
      <x:c r="C6" s="467" t="str">
        <x:v>C1021</x:v>
      </x:c>
      <x:c r="D6" s="467" t="str">
        <x:v>老客复购</x:v>
      </x:c>
      <x:c r="E6" s="467" t="str">
        <x:v>桌面收纳架</x:v>
      </x:c>
      <x:c r="F6" s="468" t="n">
        <x:v>1</x:v>
      </x:c>
      <x:c r="G6" s="468" t="n">
        <x:v>89</x:v>
      </x:c>
      <x:c r="H6" s="469" t="n">
        <x:v>0.1</x:v>
      </x:c>
      <x:c r="I6" s="470" t="n">
        <x:v>1</x:v>
      </x:c>
      <x:c r="J6" s="468" t="n">
        <x:v>32</x:v>
      </x:c>
      <x:c r="K6" s="467" t="str">
        <x:v>会员复购；已退款</x:v>
      </x:c>
    </x:row>
    <x:row r="7">
      <x:c r="A7" s="466" t="n">
        <x:v>46144</x:v>
      </x:c>
      <x:c r="B7" s="467" t="str">
        <x:v>D20260003</x:v>
      </x:c>
      <x:c r="C7" s="467" t="str">
        <x:v>C1110</x:v>
      </x:c>
      <x:c r="D7" s="467" t="str">
        <x:v>抖音广告</x:v>
      </x:c>
      <x:c r="E7" s="467" t="str">
        <x:v>便携补光灯</x:v>
      </x:c>
      <x:c r="F7" s="468" t="n">
        <x:v>2</x:v>
      </x:c>
      <x:c r="G7" s="468" t="n">
        <x:v>159</x:v>
      </x:c>
      <x:c r="H7" s="469" t="n">
        <x:v>0.05</x:v>
      </x:c>
      <x:c r="I7" s="470" t="n">
        <x:v>0</x:v>
      </x:c>
      <x:c r="J7" s="468" t="n">
        <x:v>72</x:v>
      </x:c>
      <x:c r="K7" s="467" t="str"/>
    </x:row>
    <x:row r="8">
      <x:c r="A8" s="466" t="n">
        <x:v>46144</x:v>
      </x:c>
      <x:c r="B8" s="467" t="str">
        <x:v>D20260004</x:v>
      </x:c>
      <x:c r="C8" s="467" t="str">
        <x:v>C1005</x:v>
      </x:c>
      <x:c r="D8" s="467" t="str">
        <x:v>自然搜索</x:v>
      </x:c>
      <x:c r="E8" s="467" t="str">
        <x:v>轻量旅行杯</x:v>
      </x:c>
      <x:c r="F8" s="468" t="n">
        <x:v>1</x:v>
      </x:c>
      <x:c r="G8" s="468" t="n">
        <x:v>129</x:v>
      </x:c>
      <x:c r="H8" s="469" t="n">
        <x:v>0</x:v>
      </x:c>
      <x:c r="I8" s="470" t="n">
        <x:v>0</x:v>
      </x:c>
      <x:c r="J8" s="468" t="n">
        <x:v>48</x:v>
      </x:c>
      <x:c r="K8" s="467" t="str"/>
    </x:row>
    <x:row r="9">
      <x:c r="A9" s="466" t="n">
        <x:v>46145</x:v>
      </x:c>
      <x:c r="B9" s="467" t="str">
        <x:v>D20260005</x:v>
      </x:c>
      <x:c r="C9" s="467" t="str">
        <x:v>C1015</x:v>
      </x:c>
      <x:c r="D9" s="467" t="str">
        <x:v>老客复购</x:v>
      </x:c>
      <x:c r="E9" s="467" t="str">
        <x:v>桌面收纳架</x:v>
      </x:c>
      <x:c r="F9" s="468" t="n">
        <x:v>1</x:v>
      </x:c>
      <x:c r="G9" s="468" t="n">
        <x:v>89</x:v>
      </x:c>
      <x:c r="H9" s="469" t="n">
        <x:v>0.05</x:v>
      </x:c>
      <x:c r="I9" s="470" t="n">
        <x:v>0</x:v>
      </x:c>
      <x:c r="J9" s="468" t="n">
        <x:v>32</x:v>
      </x:c>
      <x:c r="K9" s="467" t="str">
        <x:v>会员复购</x:v>
      </x:c>
    </x:row>
    <x:row r="10">
      <x:c r="A10" s="466" t="n">
        <x:v>46145</x:v>
      </x:c>
      <x:c r="B10" s="467" t="str">
        <x:v>D20260006</x:v>
      </x:c>
      <x:c r="C10" s="467" t="str">
        <x:v>C1007</x:v>
      </x:c>
      <x:c r="D10" s="467" t="str">
        <x:v>老客复购</x:v>
      </x:c>
      <x:c r="E10" s="467" t="str">
        <x:v>便携补光灯</x:v>
      </x:c>
      <x:c r="F10" s="468" t="n">
        <x:v>1</x:v>
      </x:c>
      <x:c r="G10" s="468" t="n">
        <x:v>159</x:v>
      </x:c>
      <x:c r="H10" s="469" t="n">
        <x:v>0.1</x:v>
      </x:c>
      <x:c r="I10" s="470" t="n">
        <x:v>0</x:v>
      </x:c>
      <x:c r="J10" s="468" t="n">
        <x:v>72</x:v>
      </x:c>
      <x:c r="K10" s="467" t="str">
        <x:v>会员复购</x:v>
      </x:c>
    </x:row>
    <x:row r="11">
      <x:c r="A11" s="466" t="n">
        <x:v>46146</x:v>
      </x:c>
      <x:c r="B11" s="467" t="str">
        <x:v>D20260007</x:v>
      </x:c>
      <x:c r="C11" s="467" t="str">
        <x:v>C1017</x:v>
      </x:c>
      <x:c r="D11" s="467" t="str">
        <x:v>老客复购</x:v>
      </x:c>
      <x:c r="E11" s="467" t="str">
        <x:v>轻量旅行杯</x:v>
      </x:c>
      <x:c r="F11" s="468" t="n">
        <x:v>1</x:v>
      </x:c>
      <x:c r="G11" s="468" t="n">
        <x:v>129</x:v>
      </x:c>
      <x:c r="H11" s="469" t="n">
        <x:v>0</x:v>
      </x:c>
      <x:c r="I11" s="470" t="n">
        <x:v>0</x:v>
      </x:c>
      <x:c r="J11" s="468" t="n">
        <x:v>48</x:v>
      </x:c>
      <x:c r="K11" s="467" t="str">
        <x:v>会员复购</x:v>
      </x:c>
    </x:row>
    <x:row r="12">
      <x:c r="A12" s="466" t="n">
        <x:v>46149</x:v>
      </x:c>
      <x:c r="B12" s="467" t="str">
        <x:v>D20260008</x:v>
      </x:c>
      <x:c r="C12" s="467" t="str">
        <x:v>C1041</x:v>
      </x:c>
      <x:c r="D12" s="467" t="str">
        <x:v>小红书</x:v>
      </x:c>
      <x:c r="E12" s="467" t="str">
        <x:v>桌面收纳架</x:v>
      </x:c>
      <x:c r="F12" s="468" t="n">
        <x:v>2</x:v>
      </x:c>
      <x:c r="G12" s="468" t="n">
        <x:v>89</x:v>
      </x:c>
      <x:c r="H12" s="469" t="n">
        <x:v>0.05</x:v>
      </x:c>
      <x:c r="I12" s="470" t="n">
        <x:v>0</x:v>
      </x:c>
      <x:c r="J12" s="468" t="n">
        <x:v>32</x:v>
      </x:c>
      <x:c r="K12" s="467" t="str"/>
    </x:row>
    <x:row r="13">
      <x:c r="A13" s="466" t="n">
        <x:v>46149</x:v>
      </x:c>
      <x:c r="B13" s="467" t="str">
        <x:v>D20260009</x:v>
      </x:c>
      <x:c r="C13" s="467" t="str">
        <x:v>C1118</x:v>
      </x:c>
      <x:c r="D13" s="467" t="str">
        <x:v>自然搜索</x:v>
      </x:c>
      <x:c r="E13" s="467" t="str">
        <x:v>轻量旅行杯</x:v>
      </x:c>
      <x:c r="F13" s="468" t="n">
        <x:v>1</x:v>
      </x:c>
      <x:c r="G13" s="468" t="n">
        <x:v>129</x:v>
      </x:c>
      <x:c r="H13" s="469" t="n">
        <x:v>0.1</x:v>
      </x:c>
      <x:c r="I13" s="470" t="n">
        <x:v>0</x:v>
      </x:c>
      <x:c r="J13" s="468" t="n">
        <x:v>48</x:v>
      </x:c>
      <x:c r="K13" s="467" t="str"/>
    </x:row>
    <x:row r="14">
      <x:c r="A14" s="466" t="n">
        <x:v>46150</x:v>
      </x:c>
      <x:c r="B14" s="467" t="str">
        <x:v>D20260010</x:v>
      </x:c>
      <x:c r="C14" s="467" t="str">
        <x:v>C1122</x:v>
      </x:c>
      <x:c r="D14" s="467" t="str">
        <x:v>小红书</x:v>
      </x:c>
      <x:c r="E14" s="467" t="str">
        <x:v>便携补光灯</x:v>
      </x:c>
      <x:c r="F14" s="468" t="n">
        <x:v>1</x:v>
      </x:c>
      <x:c r="G14" s="468" t="n">
        <x:v>159</x:v>
      </x:c>
      <x:c r="H14" s="469" t="n">
        <x:v>0.1</x:v>
      </x:c>
      <x:c r="I14" s="470" t="n">
        <x:v>0</x:v>
      </x:c>
      <x:c r="J14" s="468" t="n">
        <x:v>72</x:v>
      </x:c>
      <x:c r="K14" s="467" t="str"/>
    </x:row>
    <x:row r="15">
      <x:c r="A15" s="466" t="n">
        <x:v>46150</x:v>
      </x:c>
      <x:c r="B15" s="467" t="str">
        <x:v>D20260011</x:v>
      </x:c>
      <x:c r="C15" s="467" t="str">
        <x:v>C1054</x:v>
      </x:c>
      <x:c r="D15" s="467" t="str">
        <x:v>自然搜索</x:v>
      </x:c>
      <x:c r="E15" s="467" t="str">
        <x:v>便携补光灯</x:v>
      </x:c>
      <x:c r="F15" s="468" t="n">
        <x:v>1</x:v>
      </x:c>
      <x:c r="G15" s="468" t="n">
        <x:v>159</x:v>
      </x:c>
      <x:c r="H15" s="469" t="n">
        <x:v>0.1</x:v>
      </x:c>
      <x:c r="I15" s="470" t="n">
        <x:v>0</x:v>
      </x:c>
      <x:c r="J15" s="468" t="n">
        <x:v>72</x:v>
      </x:c>
      <x:c r="K15" s="467" t="str"/>
    </x:row>
    <x:row r="16">
      <x:c r="A16" s="466" t="n">
        <x:v>46150</x:v>
      </x:c>
      <x:c r="B16" s="467" t="str">
        <x:v>D20260012</x:v>
      </x:c>
      <x:c r="C16" s="467" t="str">
        <x:v>C1016</x:v>
      </x:c>
      <x:c r="D16" s="467" t="str">
        <x:v>自然搜索</x:v>
      </x:c>
      <x:c r="E16" s="467" t="str">
        <x:v>桌面收纳架</x:v>
      </x:c>
      <x:c r="F16" s="468" t="n">
        <x:v>2</x:v>
      </x:c>
      <x:c r="G16" s="468" t="n">
        <x:v>89</x:v>
      </x:c>
      <x:c r="H16" s="469" t="n">
        <x:v>0.1</x:v>
      </x:c>
      <x:c r="I16" s="470" t="n">
        <x:v>0</x:v>
      </x:c>
      <x:c r="J16" s="468" t="n">
        <x:v>32</x:v>
      </x:c>
      <x:c r="K16" s="467" t="str"/>
    </x:row>
    <x:row r="17">
      <x:c r="A17" s="466" t="n">
        <x:v>46151</x:v>
      </x:c>
      <x:c r="B17" s="467" t="str">
        <x:v>D20260013</x:v>
      </x:c>
      <x:c r="C17" s="467" t="str">
        <x:v>C1128</x:v>
      </x:c>
      <x:c r="D17" s="467" t="str">
        <x:v>抖音广告</x:v>
      </x:c>
      <x:c r="E17" s="467" t="str">
        <x:v>桌面收纳架</x:v>
      </x:c>
      <x:c r="F17" s="468" t="n">
        <x:v>3</x:v>
      </x:c>
      <x:c r="G17" s="468" t="n">
        <x:v>89</x:v>
      </x:c>
      <x:c r="H17" s="469" t="n">
        <x:v>0.05</x:v>
      </x:c>
      <x:c r="I17" s="470" t="n">
        <x:v>0</x:v>
      </x:c>
      <x:c r="J17" s="468" t="n">
        <x:v>32</x:v>
      </x:c>
      <x:c r="K17" s="467" t="str"/>
    </x:row>
    <x:row r="18">
      <x:c r="A18" s="466" t="n">
        <x:v>46151</x:v>
      </x:c>
      <x:c r="B18" s="467" t="str">
        <x:v>D20260014</x:v>
      </x:c>
      <x:c r="C18" s="467" t="str">
        <x:v>C1147</x:v>
      </x:c>
      <x:c r="D18" s="467" t="str">
        <x:v>小红书</x:v>
      </x:c>
      <x:c r="E18" s="467" t="str">
        <x:v>便携补光灯</x:v>
      </x:c>
      <x:c r="F18" s="468" t="n">
        <x:v>1</x:v>
      </x:c>
      <x:c r="G18" s="468" t="n">
        <x:v>159</x:v>
      </x:c>
      <x:c r="H18" s="469" t="n">
        <x:v>0.2</x:v>
      </x:c>
      <x:c r="I18" s="470" t="n">
        <x:v>0</x:v>
      </x:c>
      <x:c r="J18" s="468" t="n">
        <x:v>72</x:v>
      </x:c>
      <x:c r="K18" s="467" t="str"/>
    </x:row>
    <x:row r="19">
      <x:c r="A19" s="466" t="n">
        <x:v>46152</x:v>
      </x:c>
      <x:c r="B19" s="467" t="str">
        <x:v>D20260015</x:v>
      </x:c>
      <x:c r="C19" s="467" t="str">
        <x:v>C1005</x:v>
      </x:c>
      <x:c r="D19" s="467" t="str">
        <x:v>老客复购</x:v>
      </x:c>
      <x:c r="E19" s="467" t="str">
        <x:v>轻量旅行杯</x:v>
      </x:c>
      <x:c r="F19" s="468" t="n">
        <x:v>1</x:v>
      </x:c>
      <x:c r="G19" s="468" t="n">
        <x:v>129</x:v>
      </x:c>
      <x:c r="H19" s="469" t="n">
        <x:v>0.05</x:v>
      </x:c>
      <x:c r="I19" s="470" t="n">
        <x:v>0</x:v>
      </x:c>
      <x:c r="J19" s="468" t="n">
        <x:v>48</x:v>
      </x:c>
      <x:c r="K19" s="467" t="str">
        <x:v>会员复购</x:v>
      </x:c>
    </x:row>
    <x:row r="20">
      <x:c r="A20" s="466" t="n">
        <x:v>46152</x:v>
      </x:c>
      <x:c r="B20" s="467" t="str">
        <x:v>D20260016</x:v>
      </x:c>
      <x:c r="C20" s="467" t="str">
        <x:v>C1092</x:v>
      </x:c>
      <x:c r="D20" s="467" t="str">
        <x:v>自然搜索</x:v>
      </x:c>
      <x:c r="E20" s="467" t="str">
        <x:v>桌面收纳架</x:v>
      </x:c>
      <x:c r="F20" s="468" t="n">
        <x:v>1</x:v>
      </x:c>
      <x:c r="G20" s="468" t="n">
        <x:v>89</x:v>
      </x:c>
      <x:c r="H20" s="469" t="n">
        <x:v>0.1</x:v>
      </x:c>
      <x:c r="I20" s="470" t="n">
        <x:v>0</x:v>
      </x:c>
      <x:c r="J20" s="468" t="n">
        <x:v>32</x:v>
      </x:c>
      <x:c r="K20" s="467" t="str"/>
    </x:row>
    <x:row r="21">
      <x:c r="A21" s="466" t="n">
        <x:v>46154</x:v>
      </x:c>
      <x:c r="B21" s="467" t="str">
        <x:v>D20260017</x:v>
      </x:c>
      <x:c r="C21" s="467" t="str">
        <x:v>C1100</x:v>
      </x:c>
      <x:c r="D21" s="467" t="str">
        <x:v>小红书</x:v>
      </x:c>
      <x:c r="E21" s="467" t="str">
        <x:v>轻量旅行杯</x:v>
      </x:c>
      <x:c r="F21" s="468" t="n">
        <x:v>2</x:v>
      </x:c>
      <x:c r="G21" s="468" t="n">
        <x:v>129</x:v>
      </x:c>
      <x:c r="H21" s="469" t="n">
        <x:v>0</x:v>
      </x:c>
      <x:c r="I21" s="470" t="n">
        <x:v>0</x:v>
      </x:c>
      <x:c r="J21" s="468" t="n">
        <x:v>48</x:v>
      </x:c>
      <x:c r="K21" s="467" t="str"/>
    </x:row>
    <x:row r="22">
      <x:c r="A22" s="466" t="n">
        <x:v>46154</x:v>
      </x:c>
      <x:c r="B22" s="467" t="str">
        <x:v>D20260018</x:v>
      </x:c>
      <x:c r="C22" s="467" t="str">
        <x:v>C1051</x:v>
      </x:c>
      <x:c r="D22" s="467" t="str">
        <x:v>抖音广告</x:v>
      </x:c>
      <x:c r="E22" s="467" t="str">
        <x:v>桌面收纳架</x:v>
      </x:c>
      <x:c r="F22" s="468" t="n">
        <x:v>1</x:v>
      </x:c>
      <x:c r="G22" s="468" t="n">
        <x:v>89</x:v>
      </x:c>
      <x:c r="H22" s="469" t="n">
        <x:v>0</x:v>
      </x:c>
      <x:c r="I22" s="470" t="n">
        <x:v>1</x:v>
      </x:c>
      <x:c r="J22" s="468" t="n">
        <x:v>32</x:v>
      </x:c>
      <x:c r="K22" s="467" t="str">
        <x:v>已退款</x:v>
      </x:c>
    </x:row>
    <x:row r="23">
      <x:c r="A23" s="466" t="n">
        <x:v>46154</x:v>
      </x:c>
      <x:c r="B23" s="467" t="str">
        <x:v>D20260019</x:v>
      </x:c>
      <x:c r="C23" s="467" t="str">
        <x:v>C1107</x:v>
      </x:c>
      <x:c r="D23" s="467" t="str">
        <x:v>抖音广告</x:v>
      </x:c>
      <x:c r="E23" s="467" t="str">
        <x:v>轻量旅行杯</x:v>
      </x:c>
      <x:c r="F23" s="468" t="n">
        <x:v>3</x:v>
      </x:c>
      <x:c r="G23" s="468" t="n">
        <x:v>129</x:v>
      </x:c>
      <x:c r="H23" s="469" t="n">
        <x:v>0.05</x:v>
      </x:c>
      <x:c r="I23" s="470" t="n">
        <x:v>0</x:v>
      </x:c>
      <x:c r="J23" s="468" t="n">
        <x:v>48</x:v>
      </x:c>
      <x:c r="K23" s="467" t="str"/>
    </x:row>
    <x:row r="24">
      <x:c r="A24" s="466" t="n">
        <x:v>46155</x:v>
      </x:c>
      <x:c r="B24" s="467" t="str">
        <x:v>D20260020</x:v>
      </x:c>
      <x:c r="C24" s="467" t="str">
        <x:v>C1054</x:v>
      </x:c>
      <x:c r="D24" s="467" t="str">
        <x:v>自然搜索</x:v>
      </x:c>
      <x:c r="E24" s="467" t="str">
        <x:v>便携补光灯</x:v>
      </x:c>
      <x:c r="F24" s="468" t="n">
        <x:v>1</x:v>
      </x:c>
      <x:c r="G24" s="468" t="n">
        <x:v>159</x:v>
      </x:c>
      <x:c r="H24" s="469" t="n">
        <x:v>0.05</x:v>
      </x:c>
      <x:c r="I24" s="470" t="n">
        <x:v>0</x:v>
      </x:c>
      <x:c r="J24" s="468" t="n">
        <x:v>72</x:v>
      </x:c>
      <x:c r="K24" s="467" t="str"/>
    </x:row>
    <x:row r="25">
      <x:c r="A25" s="466" t="n">
        <x:v>46156</x:v>
      </x:c>
      <x:c r="B25" s="467" t="str">
        <x:v>D20260021</x:v>
      </x:c>
      <x:c r="C25" s="467" t="str">
        <x:v>C1015</x:v>
      </x:c>
      <x:c r="D25" s="467" t="str">
        <x:v>老客复购</x:v>
      </x:c>
      <x:c r="E25" s="467" t="str">
        <x:v>桌面收纳架</x:v>
      </x:c>
      <x:c r="F25" s="468" t="n">
        <x:v>2</x:v>
      </x:c>
      <x:c r="G25" s="468" t="n">
        <x:v>89</x:v>
      </x:c>
      <x:c r="H25" s="469" t="n">
        <x:v>0</x:v>
      </x:c>
      <x:c r="I25" s="470" t="n">
        <x:v>0</x:v>
      </x:c>
      <x:c r="J25" s="468" t="n">
        <x:v>32</x:v>
      </x:c>
      <x:c r="K25" s="467" t="str">
        <x:v>会员复购</x:v>
      </x:c>
    </x:row>
    <x:row r="26">
      <x:c r="A26" s="466" t="n">
        <x:v>46156</x:v>
      </x:c>
      <x:c r="B26" s="467" t="str">
        <x:v>D20260022</x:v>
      </x:c>
      <x:c r="C26" s="467" t="str">
        <x:v>C1060</x:v>
      </x:c>
      <x:c r="D26" s="467" t="str">
        <x:v>自然搜索</x:v>
      </x:c>
      <x:c r="E26" s="467" t="str">
        <x:v>桌面收纳架</x:v>
      </x:c>
      <x:c r="F26" s="468" t="n">
        <x:v>1</x:v>
      </x:c>
      <x:c r="G26" s="468" t="n">
        <x:v>89</x:v>
      </x:c>
      <x:c r="H26" s="469" t="n">
        <x:v>0.05</x:v>
      </x:c>
      <x:c r="I26" s="470" t="n">
        <x:v>0</x:v>
      </x:c>
      <x:c r="J26" s="468" t="n">
        <x:v>32</x:v>
      </x:c>
      <x:c r="K26" s="467" t="str"/>
    </x:row>
    <x:row r="27">
      <x:c r="A27" s="466" t="n">
        <x:v>46156</x:v>
      </x:c>
      <x:c r="B27" s="467" t="str">
        <x:v>D20260023</x:v>
      </x:c>
      <x:c r="C27" s="467" t="str">
        <x:v>C1030</x:v>
      </x:c>
      <x:c r="D27" s="467" t="str">
        <x:v>老客复购</x:v>
      </x:c>
      <x:c r="E27" s="467" t="str">
        <x:v>无线标签机</x:v>
      </x:c>
      <x:c r="F27" s="468" t="n">
        <x:v>1</x:v>
      </x:c>
      <x:c r="G27" s="468" t="n">
        <x:v>239</x:v>
      </x:c>
      <x:c r="H27" s="469" t="n">
        <x:v>0.05</x:v>
      </x:c>
      <x:c r="I27" s="470" t="n">
        <x:v>0</x:v>
      </x:c>
      <x:c r="J27" s="468" t="n">
        <x:v>118</x:v>
      </x:c>
      <x:c r="K27" s="467" t="str">
        <x:v>会员复购</x:v>
      </x:c>
    </x:row>
    <x:row r="28">
      <x:c r="A28" s="466" t="n">
        <x:v>46157</x:v>
      </x:c>
      <x:c r="B28" s="467" t="str">
        <x:v>D20260024</x:v>
      </x:c>
      <x:c r="C28" s="467" t="str">
        <x:v>C1043</x:v>
      </x:c>
      <x:c r="D28" s="467" t="str">
        <x:v>自然搜索</x:v>
      </x:c>
      <x:c r="E28" s="467" t="str">
        <x:v>便携补光灯</x:v>
      </x:c>
      <x:c r="F28" s="468" t="n">
        <x:v>1</x:v>
      </x:c>
      <x:c r="G28" s="468" t="n">
        <x:v>159</x:v>
      </x:c>
      <x:c r="H28" s="469" t="n">
        <x:v>0.05</x:v>
      </x:c>
      <x:c r="I28" s="470" t="n">
        <x:v>0</x:v>
      </x:c>
      <x:c r="J28" s="468" t="n">
        <x:v>72</x:v>
      </x:c>
      <x:c r="K28" s="467" t="str"/>
    </x:row>
    <x:row r="29">
      <x:c r="A29" s="466" t="n">
        <x:v>46157</x:v>
      </x:c>
      <x:c r="B29" s="467" t="str">
        <x:v>D20260025</x:v>
      </x:c>
      <x:c r="C29" s="467" t="str">
        <x:v>C1040</x:v>
      </x:c>
      <x:c r="D29" s="467" t="str">
        <x:v>自然搜索</x:v>
      </x:c>
      <x:c r="E29" s="467" t="str">
        <x:v>轻量旅行杯</x:v>
      </x:c>
      <x:c r="F29" s="468" t="n">
        <x:v>1</x:v>
      </x:c>
      <x:c r="G29" s="468" t="n">
        <x:v>129</x:v>
      </x:c>
      <x:c r="H29" s="469" t="n">
        <x:v>0.05</x:v>
      </x:c>
      <x:c r="I29" s="470" t="n">
        <x:v>0</x:v>
      </x:c>
      <x:c r="J29" s="468" t="n">
        <x:v>48</x:v>
      </x:c>
      <x:c r="K29" s="467" t="str"/>
    </x:row>
    <x:row r="30">
      <x:c r="A30" s="466" t="n">
        <x:v>46157</x:v>
      </x:c>
      <x:c r="B30" s="467" t="str">
        <x:v>D20260026</x:v>
      </x:c>
      <x:c r="C30" s="467" t="str">
        <x:v>C1110</x:v>
      </x:c>
      <x:c r="D30" s="467" t="str">
        <x:v>抖音广告</x:v>
      </x:c>
      <x:c r="E30" s="467" t="str">
        <x:v>无线标签机</x:v>
      </x:c>
      <x:c r="F30" s="468" t="n">
        <x:v>1</x:v>
      </x:c>
      <x:c r="G30" s="468" t="n">
        <x:v>239</x:v>
      </x:c>
      <x:c r="H30" s="469" t="n">
        <x:v>0.05</x:v>
      </x:c>
      <x:c r="I30" s="470" t="n">
        <x:v>0</x:v>
      </x:c>
      <x:c r="J30" s="468" t="n">
        <x:v>118</x:v>
      </x:c>
      <x:c r="K30" s="467" t="str"/>
    </x:row>
    <x:row r="31">
      <x:c r="A31" s="466" t="n">
        <x:v>46157</x:v>
      </x:c>
      <x:c r="B31" s="467" t="str">
        <x:v>D20260027</x:v>
      </x:c>
      <x:c r="C31" s="467" t="str">
        <x:v>C1048</x:v>
      </x:c>
      <x:c r="D31" s="467" t="str">
        <x:v>抖音广告</x:v>
      </x:c>
      <x:c r="E31" s="467" t="str">
        <x:v>桌面收纳架</x:v>
      </x:c>
      <x:c r="F31" s="468" t="n">
        <x:v>2</x:v>
      </x:c>
      <x:c r="G31" s="468" t="n">
        <x:v>89</x:v>
      </x:c>
      <x:c r="H31" s="469" t="n">
        <x:v>0.05</x:v>
      </x:c>
      <x:c r="I31" s="470" t="n">
        <x:v>0</x:v>
      </x:c>
      <x:c r="J31" s="468" t="n">
        <x:v>32</x:v>
      </x:c>
      <x:c r="K31" s="467" t="str"/>
    </x:row>
    <x:row r="32">
      <x:c r="A32" s="466" t="n">
        <x:v>46157</x:v>
      </x:c>
      <x:c r="B32" s="467" t="str">
        <x:v>D20260028</x:v>
      </x:c>
      <x:c r="C32" s="467" t="str">
        <x:v>C1026</x:v>
      </x:c>
      <x:c r="D32" s="467" t="str">
        <x:v>老客复购</x:v>
      </x:c>
      <x:c r="E32" s="467" t="str">
        <x:v>轻量旅行杯</x:v>
      </x:c>
      <x:c r="F32" s="468" t="n">
        <x:v>1</x:v>
      </x:c>
      <x:c r="G32" s="468" t="n">
        <x:v>129</x:v>
      </x:c>
      <x:c r="H32" s="469" t="n">
        <x:v>0</x:v>
      </x:c>
      <x:c r="I32" s="470" t="n">
        <x:v>0</x:v>
      </x:c>
      <x:c r="J32" s="468" t="n">
        <x:v>48</x:v>
      </x:c>
      <x:c r="K32" s="467" t="str">
        <x:v>会员复购</x:v>
      </x:c>
    </x:row>
    <x:row r="33">
      <x:c r="A33" s="466" t="n">
        <x:v>46157</x:v>
      </x:c>
      <x:c r="B33" s="467" t="str">
        <x:v>D20260029</x:v>
      </x:c>
      <x:c r="C33" s="467" t="str">
        <x:v>C1134</x:v>
      </x:c>
      <x:c r="D33" s="467" t="str">
        <x:v>抖音广告</x:v>
      </x:c>
      <x:c r="E33" s="467" t="str">
        <x:v>便携补光灯</x:v>
      </x:c>
      <x:c r="F33" s="468" t="n">
        <x:v>2</x:v>
      </x:c>
      <x:c r="G33" s="468" t="n">
        <x:v>159</x:v>
      </x:c>
      <x:c r="H33" s="469" t="n">
        <x:v>0.05</x:v>
      </x:c>
      <x:c r="I33" s="470" t="n">
        <x:v>0</x:v>
      </x:c>
      <x:c r="J33" s="468" t="n">
        <x:v>72</x:v>
      </x:c>
      <x:c r="K33" s="467" t="str"/>
    </x:row>
    <x:row r="34">
      <x:c r="A34" s="466" t="n">
        <x:v>46159</x:v>
      </x:c>
      <x:c r="B34" s="467" t="str">
        <x:v>D20260030</x:v>
      </x:c>
      <x:c r="C34" s="467" t="str">
        <x:v>C1017</x:v>
      </x:c>
      <x:c r="D34" s="467" t="str">
        <x:v>抖音广告</x:v>
      </x:c>
      <x:c r="E34" s="467" t="str">
        <x:v>桌面收纳架</x:v>
      </x:c>
      <x:c r="F34" s="468" t="n">
        <x:v>1</x:v>
      </x:c>
      <x:c r="G34" s="468" t="n">
        <x:v>89</x:v>
      </x:c>
      <x:c r="H34" s="469" t="n">
        <x:v>0.2</x:v>
      </x:c>
      <x:c r="I34" s="470" t="n">
        <x:v>0</x:v>
      </x:c>
      <x:c r="J34" s="468" t="n">
        <x:v>32</x:v>
      </x:c>
      <x:c r="K34" s="467" t="str">
        <x:v>直播活动</x:v>
      </x:c>
    </x:row>
    <x:row r="35">
      <x:c r="A35" s="466" t="n">
        <x:v>46159</x:v>
      </x:c>
      <x:c r="B35" s="467" t="str">
        <x:v>D20260031</x:v>
      </x:c>
      <x:c r="C35" s="467" t="str">
        <x:v>C1024</x:v>
      </x:c>
      <x:c r="D35" s="467" t="str">
        <x:v>老客复购</x:v>
      </x:c>
      <x:c r="E35" s="467" t="str">
        <x:v>桌面收纳架</x:v>
      </x:c>
      <x:c r="F35" s="468" t="n">
        <x:v>1</x:v>
      </x:c>
      <x:c r="G35" s="468" t="n">
        <x:v>89</x:v>
      </x:c>
      <x:c r="H35" s="469" t="n">
        <x:v>0.05</x:v>
      </x:c>
      <x:c r="I35" s="470" t="n">
        <x:v>0</x:v>
      </x:c>
      <x:c r="J35" s="468" t="n">
        <x:v>32</x:v>
      </x:c>
      <x:c r="K35" s="467" t="str">
        <x:v>会员复购</x:v>
      </x:c>
    </x:row>
    <x:row r="36">
      <x:c r="A36" s="466" t="n">
        <x:v>46159</x:v>
      </x:c>
      <x:c r="B36" s="467" t="str">
        <x:v>D20260032</x:v>
      </x:c>
      <x:c r="C36" s="467" t="str">
        <x:v>C1056</x:v>
      </x:c>
      <x:c r="D36" s="467" t="str">
        <x:v>小红书</x:v>
      </x:c>
      <x:c r="E36" s="467" t="str">
        <x:v>轻量旅行杯</x:v>
      </x:c>
      <x:c r="F36" s="468" t="n">
        <x:v>1</x:v>
      </x:c>
      <x:c r="G36" s="468" t="n">
        <x:v>129</x:v>
      </x:c>
      <x:c r="H36" s="469" t="n">
        <x:v>0.1</x:v>
      </x:c>
      <x:c r="I36" s="470" t="n">
        <x:v>1</x:v>
      </x:c>
      <x:c r="J36" s="468" t="n">
        <x:v>48</x:v>
      </x:c>
      <x:c r="K36" s="467" t="str">
        <x:v>已退款</x:v>
      </x:c>
    </x:row>
    <x:row r="37">
      <x:c r="A37" s="466" t="n">
        <x:v>46161</x:v>
      </x:c>
      <x:c r="B37" s="467" t="str">
        <x:v>D20260033</x:v>
      </x:c>
      <x:c r="C37" s="467" t="str">
        <x:v>C1109</x:v>
      </x:c>
      <x:c r="D37" s="467" t="str">
        <x:v>抖音广告</x:v>
      </x:c>
      <x:c r="E37" s="467" t="str">
        <x:v>无线标签机</x:v>
      </x:c>
      <x:c r="F37" s="468" t="n">
        <x:v>1</x:v>
      </x:c>
      <x:c r="G37" s="468" t="n">
        <x:v>239</x:v>
      </x:c>
      <x:c r="H37" s="469" t="n">
        <x:v>0.05</x:v>
      </x:c>
      <x:c r="I37" s="470" t="n">
        <x:v>0</x:v>
      </x:c>
      <x:c r="J37" s="468" t="n">
        <x:v>118</x:v>
      </x:c>
      <x:c r="K37" s="467" t="str"/>
    </x:row>
    <x:row r="38">
      <x:c r="A38" s="466" t="n">
        <x:v>46162</x:v>
      </x:c>
      <x:c r="B38" s="467" t="str">
        <x:v>D20260034</x:v>
      </x:c>
      <x:c r="C38" s="467" t="str">
        <x:v>C1041</x:v>
      </x:c>
      <x:c r="D38" s="467" t="str">
        <x:v>抖音广告</x:v>
      </x:c>
      <x:c r="E38" s="467" t="str">
        <x:v>便携补光灯</x:v>
      </x:c>
      <x:c r="F38" s="468" t="n">
        <x:v>2</x:v>
      </x:c>
      <x:c r="G38" s="468" t="n">
        <x:v>159</x:v>
      </x:c>
      <x:c r="H38" s="469" t="n">
        <x:v>0.1</x:v>
      </x:c>
      <x:c r="I38" s="470" t="n">
        <x:v>0</x:v>
      </x:c>
      <x:c r="J38" s="468" t="n">
        <x:v>72</x:v>
      </x:c>
      <x:c r="K38" s="467" t="str">
        <x:v>直播活动</x:v>
      </x:c>
    </x:row>
    <x:row r="39">
      <x:c r="A39" s="466" t="n">
        <x:v>46162</x:v>
      </x:c>
      <x:c r="B39" s="467" t="str">
        <x:v>D20260035</x:v>
      </x:c>
      <x:c r="C39" s="467" t="str">
        <x:v>C1062</x:v>
      </x:c>
      <x:c r="D39" s="467" t="str">
        <x:v>自然搜索</x:v>
      </x:c>
      <x:c r="E39" s="467" t="str">
        <x:v>便携补光灯</x:v>
      </x:c>
      <x:c r="F39" s="468" t="n">
        <x:v>1</x:v>
      </x:c>
      <x:c r="G39" s="468" t="n">
        <x:v>159</x:v>
      </x:c>
      <x:c r="H39" s="469" t="n">
        <x:v>0</x:v>
      </x:c>
      <x:c r="I39" s="470" t="n">
        <x:v>0</x:v>
      </x:c>
      <x:c r="J39" s="468" t="n">
        <x:v>72</x:v>
      </x:c>
      <x:c r="K39" s="467" t="str"/>
    </x:row>
    <x:row r="40">
      <x:c r="A40" s="466" t="n">
        <x:v>46162</x:v>
      </x:c>
      <x:c r="B40" s="467" t="str">
        <x:v>D20260036</x:v>
      </x:c>
      <x:c r="C40" s="467" t="str">
        <x:v>C1013</x:v>
      </x:c>
      <x:c r="D40" s="467" t="str">
        <x:v>自然搜索</x:v>
      </x:c>
      <x:c r="E40" s="467" t="str">
        <x:v>便携补光灯</x:v>
      </x:c>
      <x:c r="F40" s="468" t="n">
        <x:v>1</x:v>
      </x:c>
      <x:c r="G40" s="468" t="n">
        <x:v>159</x:v>
      </x:c>
      <x:c r="H40" s="469" t="n">
        <x:v>0</x:v>
      </x:c>
      <x:c r="I40" s="470" t="n">
        <x:v>0</x:v>
      </x:c>
      <x:c r="J40" s="468" t="n">
        <x:v>72</x:v>
      </x:c>
      <x:c r="K40" s="467" t="str"/>
    </x:row>
    <x:row r="41">
      <x:c r="A41" s="466" t="n">
        <x:v>46162</x:v>
      </x:c>
      <x:c r="B41" s="467" t="str">
        <x:v>D20260037</x:v>
      </x:c>
      <x:c r="C41" s="467" t="str">
        <x:v>C1058</x:v>
      </x:c>
      <x:c r="D41" s="467" t="str">
        <x:v>小红书</x:v>
      </x:c>
      <x:c r="E41" s="467" t="str">
        <x:v>桌面收纳架</x:v>
      </x:c>
      <x:c r="F41" s="468" t="n">
        <x:v>2</x:v>
      </x:c>
      <x:c r="G41" s="468" t="n">
        <x:v>89</x:v>
      </x:c>
      <x:c r="H41" s="469" t="n">
        <x:v>0.05</x:v>
      </x:c>
      <x:c r="I41" s="470" t="n">
        <x:v>0</x:v>
      </x:c>
      <x:c r="J41" s="468" t="n">
        <x:v>32</x:v>
      </x:c>
      <x:c r="K41" s="467" t="str"/>
    </x:row>
    <x:row r="42">
      <x:c r="A42" s="466" t="n">
        <x:v>46162</x:v>
      </x:c>
      <x:c r="B42" s="467" t="str">
        <x:v>D20260038</x:v>
      </x:c>
      <x:c r="C42" s="467" t="str">
        <x:v>C1012</x:v>
      </x:c>
      <x:c r="D42" s="467" t="str">
        <x:v>老客复购</x:v>
      </x:c>
      <x:c r="E42" s="467" t="str">
        <x:v>无线标签机</x:v>
      </x:c>
      <x:c r="F42" s="468" t="n">
        <x:v>2</x:v>
      </x:c>
      <x:c r="G42" s="468" t="n">
        <x:v>239</x:v>
      </x:c>
      <x:c r="H42" s="469" t="n">
        <x:v>0</x:v>
      </x:c>
      <x:c r="I42" s="470" t="n">
        <x:v>0</x:v>
      </x:c>
      <x:c r="J42" s="468" t="n">
        <x:v>118</x:v>
      </x:c>
      <x:c r="K42" s="467" t="str">
        <x:v>会员复购</x:v>
      </x:c>
    </x:row>
    <x:row r="43">
      <x:c r="A43" s="466" t="n">
        <x:v>46162</x:v>
      </x:c>
      <x:c r="B43" s="467" t="str">
        <x:v>D20260039</x:v>
      </x:c>
      <x:c r="C43" s="467" t="str">
        <x:v>C1031</x:v>
      </x:c>
      <x:c r="D43" s="467" t="str">
        <x:v>老客复购</x:v>
      </x:c>
      <x:c r="E43" s="467" t="str">
        <x:v>桌面收纳架</x:v>
      </x:c>
      <x:c r="F43" s="468" t="n">
        <x:v>1</x:v>
      </x:c>
      <x:c r="G43" s="468" t="n">
        <x:v>89</x:v>
      </x:c>
      <x:c r="H43" s="469" t="n">
        <x:v>0.1</x:v>
      </x:c>
      <x:c r="I43" s="470" t="n">
        <x:v>0</x:v>
      </x:c>
      <x:c r="J43" s="468" t="n">
        <x:v>32</x:v>
      </x:c>
      <x:c r="K43" s="467" t="str">
        <x:v>会员复购</x:v>
      </x:c>
    </x:row>
    <x:row r="44">
      <x:c r="A44" s="466" t="n">
        <x:v>46164</x:v>
      </x:c>
      <x:c r="B44" s="467" t="str">
        <x:v>D20260040</x:v>
      </x:c>
      <x:c r="C44" s="467" t="str">
        <x:v>C1070</x:v>
      </x:c>
      <x:c r="D44" s="467" t="str">
        <x:v>小红书</x:v>
      </x:c>
      <x:c r="E44" s="467" t="str">
        <x:v>便携补光灯</x:v>
      </x:c>
      <x:c r="F44" s="468" t="n">
        <x:v>1</x:v>
      </x:c>
      <x:c r="G44" s="468" t="n">
        <x:v>159</x:v>
      </x:c>
      <x:c r="H44" s="469" t="n">
        <x:v>0.1</x:v>
      </x:c>
      <x:c r="I44" s="470" t="n">
        <x:v>0</x:v>
      </x:c>
      <x:c r="J44" s="468" t="n">
        <x:v>72</x:v>
      </x:c>
      <x:c r="K44" s="467" t="str"/>
    </x:row>
    <x:row r="45">
      <x:c r="A45" s="466" t="n">
        <x:v>46165</x:v>
      </x:c>
      <x:c r="B45" s="467" t="str">
        <x:v>D20260041</x:v>
      </x:c>
      <x:c r="C45" s="467" t="str">
        <x:v>C1055</x:v>
      </x:c>
      <x:c r="D45" s="467" t="str">
        <x:v>自然搜索</x:v>
      </x:c>
      <x:c r="E45" s="467" t="str">
        <x:v>桌面收纳架</x:v>
      </x:c>
      <x:c r="F45" s="468" t="n">
        <x:v>2</x:v>
      </x:c>
      <x:c r="G45" s="468" t="n">
        <x:v>89</x:v>
      </x:c>
      <x:c r="H45" s="469" t="n">
        <x:v>0.2</x:v>
      </x:c>
      <x:c r="I45" s="470" t="n">
        <x:v>0</x:v>
      </x:c>
      <x:c r="J45" s="468" t="n">
        <x:v>32</x:v>
      </x:c>
      <x:c r="K45" s="467" t="str"/>
    </x:row>
    <x:row r="46">
      <x:c r="A46" s="466" t="n">
        <x:v>46166</x:v>
      </x:c>
      <x:c r="B46" s="467" t="str">
        <x:v>D20260042</x:v>
      </x:c>
      <x:c r="C46" s="467" t="str">
        <x:v>C1014</x:v>
      </x:c>
      <x:c r="D46" s="467" t="str">
        <x:v>老客复购</x:v>
      </x:c>
      <x:c r="E46" s="467" t="str">
        <x:v>便携补光灯</x:v>
      </x:c>
      <x:c r="F46" s="468" t="n">
        <x:v>3</x:v>
      </x:c>
      <x:c r="G46" s="468" t="n">
        <x:v>159</x:v>
      </x:c>
      <x:c r="H46" s="469" t="n">
        <x:v>0.1</x:v>
      </x:c>
      <x:c r="I46" s="470" t="n">
        <x:v>0</x:v>
      </x:c>
      <x:c r="J46" s="468" t="n">
        <x:v>72</x:v>
      </x:c>
      <x:c r="K46" s="467" t="str">
        <x:v>会员复购</x:v>
      </x:c>
    </x:row>
    <x:row r="47">
      <x:c r="A47" s="466" t="n">
        <x:v>46166</x:v>
      </x:c>
      <x:c r="B47" s="467" t="str">
        <x:v>D20260043</x:v>
      </x:c>
      <x:c r="C47" s="467" t="str">
        <x:v>C1098</x:v>
      </x:c>
      <x:c r="D47" s="467" t="str">
        <x:v>抖音广告</x:v>
      </x:c>
      <x:c r="E47" s="467" t="str">
        <x:v>轻量旅行杯</x:v>
      </x:c>
      <x:c r="F47" s="468" t="n">
        <x:v>1</x:v>
      </x:c>
      <x:c r="G47" s="468" t="n">
        <x:v>129</x:v>
      </x:c>
      <x:c r="H47" s="469" t="n">
        <x:v>0.05</x:v>
      </x:c>
      <x:c r="I47" s="470" t="n">
        <x:v>0</x:v>
      </x:c>
      <x:c r="J47" s="468" t="n">
        <x:v>48</x:v>
      </x:c>
      <x:c r="K47" s="467" t="str"/>
    </x:row>
    <x:row r="48">
      <x:c r="A48" s="466" t="n">
        <x:v>46166</x:v>
      </x:c>
      <x:c r="B48" s="467" t="str">
        <x:v>D20260044</x:v>
      </x:c>
      <x:c r="C48" s="467" t="str">
        <x:v>C1034</x:v>
      </x:c>
      <x:c r="D48" s="467" t="str">
        <x:v>老客复购</x:v>
      </x:c>
      <x:c r="E48" s="467" t="str">
        <x:v>桌面收纳架</x:v>
      </x:c>
      <x:c r="F48" s="468" t="n">
        <x:v>1</x:v>
      </x:c>
      <x:c r="G48" s="468" t="n">
        <x:v>89</x:v>
      </x:c>
      <x:c r="H48" s="469" t="n">
        <x:v>0.1</x:v>
      </x:c>
      <x:c r="I48" s="470" t="n">
        <x:v>0</x:v>
      </x:c>
      <x:c r="J48" s="468" t="n">
        <x:v>32</x:v>
      </x:c>
      <x:c r="K48" s="467" t="str">
        <x:v>会员复购</x:v>
      </x:c>
    </x:row>
    <x:row r="49">
      <x:c r="A49" s="466" t="n">
        <x:v>46167</x:v>
      </x:c>
      <x:c r="B49" s="467" t="str">
        <x:v>D20260045</x:v>
      </x:c>
      <x:c r="C49" s="467" t="str">
        <x:v>C1089</x:v>
      </x:c>
      <x:c r="D49" s="467" t="str">
        <x:v>抖音广告</x:v>
      </x:c>
      <x:c r="E49" s="467" t="str">
        <x:v>无线标签机</x:v>
      </x:c>
      <x:c r="F49" s="468" t="n">
        <x:v>3</x:v>
      </x:c>
      <x:c r="G49" s="468" t="n">
        <x:v>239</x:v>
      </x:c>
      <x:c r="H49" s="469" t="n">
        <x:v>0.05</x:v>
      </x:c>
      <x:c r="I49" s="470" t="n">
        <x:v>0</x:v>
      </x:c>
      <x:c r="J49" s="468" t="n">
        <x:v>118</x:v>
      </x:c>
      <x:c r="K49" s="467" t="str"/>
    </x:row>
    <x:row r="50">
      <x:c r="A50" s="466" t="n">
        <x:v>46167</x:v>
      </x:c>
      <x:c r="B50" s="467" t="str">
        <x:v>D20260046</x:v>
      </x:c>
      <x:c r="C50" s="467" t="str">
        <x:v>C1013</x:v>
      </x:c>
      <x:c r="D50" s="467" t="str">
        <x:v>自然搜索</x:v>
      </x:c>
      <x:c r="E50" s="467" t="str">
        <x:v>无线标签机</x:v>
      </x:c>
      <x:c r="F50" s="468" t="n">
        <x:v>1</x:v>
      </x:c>
      <x:c r="G50" s="468" t="n">
        <x:v>239</x:v>
      </x:c>
      <x:c r="H50" s="469" t="n">
        <x:v>0.1</x:v>
      </x:c>
      <x:c r="I50" s="470" t="n">
        <x:v>0</x:v>
      </x:c>
      <x:c r="J50" s="468" t="n">
        <x:v>118</x:v>
      </x:c>
      <x:c r="K50" s="467" t="str"/>
    </x:row>
    <x:row r="51">
      <x:c r="A51" s="466" t="n">
        <x:v>46167</x:v>
      </x:c>
      <x:c r="B51" s="467" t="str">
        <x:v>D20260047</x:v>
      </x:c>
      <x:c r="C51" s="467" t="str">
        <x:v>C1026</x:v>
      </x:c>
      <x:c r="D51" s="467" t="str">
        <x:v>老客复购</x:v>
      </x:c>
      <x:c r="E51" s="467" t="str">
        <x:v>便携补光灯</x:v>
      </x:c>
      <x:c r="F51" s="468" t="n">
        <x:v>1</x:v>
      </x:c>
      <x:c r="G51" s="468" t="n">
        <x:v>159</x:v>
      </x:c>
      <x:c r="H51" s="469" t="n">
        <x:v>0.05</x:v>
      </x:c>
      <x:c r="I51" s="470" t="n">
        <x:v>0</x:v>
      </x:c>
      <x:c r="J51" s="468" t="n">
        <x:v>72</x:v>
      </x:c>
      <x:c r="K51" s="467" t="str">
        <x:v>会员复购</x:v>
      </x:c>
    </x:row>
    <x:row r="52">
      <x:c r="A52" s="466" t="n">
        <x:v>46168</x:v>
      </x:c>
      <x:c r="B52" s="467" t="str">
        <x:v>D20260048</x:v>
      </x:c>
      <x:c r="C52" s="467" t="str">
        <x:v>C1077</x:v>
      </x:c>
      <x:c r="D52" s="467" t="str">
        <x:v>小红书</x:v>
      </x:c>
      <x:c r="E52" s="467" t="str">
        <x:v>无线标签机</x:v>
      </x:c>
      <x:c r="F52" s="468" t="n">
        <x:v>1</x:v>
      </x:c>
      <x:c r="G52" s="468" t="n">
        <x:v>239</x:v>
      </x:c>
      <x:c r="H52" s="469" t="n">
        <x:v>0.1</x:v>
      </x:c>
      <x:c r="I52" s="470" t="n">
        <x:v>0</x:v>
      </x:c>
      <x:c r="J52" s="468" t="n">
        <x:v>118</x:v>
      </x:c>
      <x:c r="K52" s="467" t="str"/>
    </x:row>
    <x:row r="53">
      <x:c r="A53" s="466" t="n">
        <x:v>46168</x:v>
      </x:c>
      <x:c r="B53" s="467" t="str">
        <x:v>D20260049</x:v>
      </x:c>
      <x:c r="C53" s="467" t="str">
        <x:v>C1027</x:v>
      </x:c>
      <x:c r="D53" s="467" t="str">
        <x:v>自然搜索</x:v>
      </x:c>
      <x:c r="E53" s="467" t="str">
        <x:v>桌面收纳架</x:v>
      </x:c>
      <x:c r="F53" s="468" t="n">
        <x:v>1</x:v>
      </x:c>
      <x:c r="G53" s="468" t="n">
        <x:v>89</x:v>
      </x:c>
      <x:c r="H53" s="469" t="n">
        <x:v>0</x:v>
      </x:c>
      <x:c r="I53" s="470" t="n">
        <x:v>0</x:v>
      </x:c>
      <x:c r="J53" s="468" t="n">
        <x:v>32</x:v>
      </x:c>
      <x:c r="K53" s="467" t="str"/>
    </x:row>
    <x:row r="54">
      <x:c r="A54" s="466" t="n">
        <x:v>46168</x:v>
      </x:c>
      <x:c r="B54" s="467" t="str">
        <x:v>D20260050</x:v>
      </x:c>
      <x:c r="C54" s="467" t="str">
        <x:v>C1005</x:v>
      </x:c>
      <x:c r="D54" s="467" t="str">
        <x:v>老客复购</x:v>
      </x:c>
      <x:c r="E54" s="467" t="str">
        <x:v>轻量旅行杯</x:v>
      </x:c>
      <x:c r="F54" s="468" t="n">
        <x:v>1</x:v>
      </x:c>
      <x:c r="G54" s="468" t="n">
        <x:v>129</x:v>
      </x:c>
      <x:c r="H54" s="469" t="n">
        <x:v>0.05</x:v>
      </x:c>
      <x:c r="I54" s="470" t="n">
        <x:v>0</x:v>
      </x:c>
      <x:c r="J54" s="468" t="n">
        <x:v>48</x:v>
      </x:c>
      <x:c r="K54" s="467" t="str">
        <x:v>会员复购</x:v>
      </x:c>
    </x:row>
    <x:row r="55">
      <x:c r="A55" s="466" t="n">
        <x:v>46169</x:v>
      </x:c>
      <x:c r="B55" s="467" t="str">
        <x:v>D20260051</x:v>
      </x:c>
      <x:c r="C55" s="467" t="str">
        <x:v>C1133</x:v>
      </x:c>
      <x:c r="D55" s="467" t="str">
        <x:v>小红书</x:v>
      </x:c>
      <x:c r="E55" s="467" t="str">
        <x:v>轻量旅行杯</x:v>
      </x:c>
      <x:c r="F55" s="468" t="n">
        <x:v>1</x:v>
      </x:c>
      <x:c r="G55" s="468" t="n">
        <x:v>129</x:v>
      </x:c>
      <x:c r="H55" s="469" t="n">
        <x:v>0</x:v>
      </x:c>
      <x:c r="I55" s="470" t="n">
        <x:v>0</x:v>
      </x:c>
      <x:c r="J55" s="468" t="n">
        <x:v>48</x:v>
      </x:c>
      <x:c r="K55" s="467" t="str"/>
    </x:row>
    <x:row r="56">
      <x:c r="A56" s="466" t="n">
        <x:v>46170</x:v>
      </x:c>
      <x:c r="B56" s="467" t="str">
        <x:v>D20260052</x:v>
      </x:c>
      <x:c r="C56" s="467" t="str">
        <x:v>C1032</x:v>
      </x:c>
      <x:c r="D56" s="467" t="str">
        <x:v>小红书</x:v>
      </x:c>
      <x:c r="E56" s="467" t="str">
        <x:v>无线标签机</x:v>
      </x:c>
      <x:c r="F56" s="468" t="n">
        <x:v>1</x:v>
      </x:c>
      <x:c r="G56" s="468" t="n">
        <x:v>239</x:v>
      </x:c>
      <x:c r="H56" s="469" t="n">
        <x:v>0</x:v>
      </x:c>
      <x:c r="I56" s="470" t="n">
        <x:v>0</x:v>
      </x:c>
      <x:c r="J56" s="468" t="n">
        <x:v>118</x:v>
      </x:c>
      <x:c r="K56" s="467" t="str"/>
    </x:row>
    <x:row r="57">
      <x:c r="A57" s="466" t="n">
        <x:v>46171</x:v>
      </x:c>
      <x:c r="B57" s="467" t="str">
        <x:v>D20260053</x:v>
      </x:c>
      <x:c r="C57" s="467" t="str">
        <x:v>C1083</x:v>
      </x:c>
      <x:c r="D57" s="467" t="str">
        <x:v>小红书</x:v>
      </x:c>
      <x:c r="E57" s="467" t="str">
        <x:v>桌面收纳架</x:v>
      </x:c>
      <x:c r="F57" s="468" t="n">
        <x:v>2</x:v>
      </x:c>
      <x:c r="G57" s="468" t="n">
        <x:v>89</x:v>
      </x:c>
      <x:c r="H57" s="469" t="n">
        <x:v>0.05</x:v>
      </x:c>
      <x:c r="I57" s="470" t="n">
        <x:v>0</x:v>
      </x:c>
      <x:c r="J57" s="468" t="n">
        <x:v>32</x:v>
      </x:c>
      <x:c r="K57" s="467" t="str"/>
    </x:row>
    <x:row r="58">
      <x:c r="A58" s="466" t="n">
        <x:v>46172</x:v>
      </x:c>
      <x:c r="B58" s="467" t="str">
        <x:v>D20260054</x:v>
      </x:c>
      <x:c r="C58" s="467" t="str">
        <x:v>C1063</x:v>
      </x:c>
      <x:c r="D58" s="467" t="str">
        <x:v>自然搜索</x:v>
      </x:c>
      <x:c r="E58" s="467" t="str">
        <x:v>无线标签机</x:v>
      </x:c>
      <x:c r="F58" s="468" t="n">
        <x:v>1</x:v>
      </x:c>
      <x:c r="G58" s="468" t="n">
        <x:v>239</x:v>
      </x:c>
      <x:c r="H58" s="469" t="n">
        <x:v>0.05</x:v>
      </x:c>
      <x:c r="I58" s="470" t="n">
        <x:v>0</x:v>
      </x:c>
      <x:c r="J58" s="468" t="n">
        <x:v>118</x:v>
      </x:c>
      <x:c r="K58" s="467" t="str"/>
    </x:row>
    <x:row r="59">
      <x:c r="A59" s="466" t="n">
        <x:v>46172</x:v>
      </x:c>
      <x:c r="B59" s="467" t="str">
        <x:v>D20260055</x:v>
      </x:c>
      <x:c r="C59" s="467" t="str">
        <x:v>C1012</x:v>
      </x:c>
      <x:c r="D59" s="467" t="str">
        <x:v>老客复购</x:v>
      </x:c>
      <x:c r="E59" s="467" t="str">
        <x:v>无线标签机</x:v>
      </x:c>
      <x:c r="F59" s="468" t="n">
        <x:v>1</x:v>
      </x:c>
      <x:c r="G59" s="468" t="n">
        <x:v>239</x:v>
      </x:c>
      <x:c r="H59" s="469" t="n">
        <x:v>0.1</x:v>
      </x:c>
      <x:c r="I59" s="470" t="n">
        <x:v>0</x:v>
      </x:c>
      <x:c r="J59" s="468" t="n">
        <x:v>118</x:v>
      </x:c>
      <x:c r="K59" s="467" t="str">
        <x:v>会员复购</x:v>
      </x:c>
    </x:row>
    <x:row r="60">
      <x:c r="A60" s="466" t="n">
        <x:v>46173</x:v>
      </x:c>
      <x:c r="B60" s="467" t="str">
        <x:v>D20260056</x:v>
      </x:c>
      <x:c r="C60" s="467" t="str">
        <x:v>C1054</x:v>
      </x:c>
      <x:c r="D60" s="467" t="str">
        <x:v>抖音广告</x:v>
      </x:c>
      <x:c r="E60" s="467" t="str">
        <x:v>轻量旅行杯</x:v>
      </x:c>
      <x:c r="F60" s="468" t="n">
        <x:v>1</x:v>
      </x:c>
      <x:c r="G60" s="468" t="n">
        <x:v>129</x:v>
      </x:c>
      <x:c r="H60" s="469" t="n">
        <x:v>0</x:v>
      </x:c>
      <x:c r="I60" s="470" t="n">
        <x:v>0</x:v>
      </x:c>
      <x:c r="J60" s="468" t="n">
        <x:v>48</x:v>
      </x:c>
      <x:c r="K60" s="467" t="str"/>
    </x:row>
    <x:row r="61">
      <x:c r="A61" s="466" t="n">
        <x:v>46173</x:v>
      </x:c>
      <x:c r="B61" s="467" t="str">
        <x:v>D20260057</x:v>
      </x:c>
      <x:c r="C61" s="467" t="str">
        <x:v>C1004</x:v>
      </x:c>
      <x:c r="D61" s="467" t="str">
        <x:v>抖音广告</x:v>
      </x:c>
      <x:c r="E61" s="467" t="str">
        <x:v>轻量旅行杯</x:v>
      </x:c>
      <x:c r="F61" s="468" t="n">
        <x:v>2</x:v>
      </x:c>
      <x:c r="G61" s="468" t="n">
        <x:v>129</x:v>
      </x:c>
      <x:c r="H61" s="469" t="n">
        <x:v>0.1</x:v>
      </x:c>
      <x:c r="I61" s="470" t="n">
        <x:v>0</x:v>
      </x:c>
      <x:c r="J61" s="468" t="n">
        <x:v>48</x:v>
      </x:c>
      <x:c r="K61" s="467" t="str">
        <x:v>直播活动</x:v>
      </x:c>
    </x:row>
    <x:row r="62">
      <x:c r="A62" s="466" t="n">
        <x:v>46173</x:v>
      </x:c>
      <x:c r="B62" s="467" t="str">
        <x:v>D20260058</x:v>
      </x:c>
      <x:c r="C62" s="467" t="str">
        <x:v>C1120</x:v>
      </x:c>
      <x:c r="D62" s="467" t="str">
        <x:v>自然搜索</x:v>
      </x:c>
      <x:c r="E62" s="467" t="str">
        <x:v>便携补光灯</x:v>
      </x:c>
      <x:c r="F62" s="468" t="n">
        <x:v>1</x:v>
      </x:c>
      <x:c r="G62" s="468" t="n">
        <x:v>159</x:v>
      </x:c>
      <x:c r="H62" s="469" t="n">
        <x:v>0</x:v>
      </x:c>
      <x:c r="I62" s="470" t="n">
        <x:v>0</x:v>
      </x:c>
      <x:c r="J62" s="468" t="n">
        <x:v>72</x:v>
      </x:c>
      <x:c r="K62" s="467" t="str"/>
    </x:row>
    <x:row r="63">
      <x:c r="A63" s="466" t="n">
        <x:v>46173</x:v>
      </x:c>
      <x:c r="B63" s="467" t="str">
        <x:v>D20260059</x:v>
      </x:c>
      <x:c r="C63" s="467" t="str">
        <x:v>C1058</x:v>
      </x:c>
      <x:c r="D63" s="467" t="str">
        <x:v>抖音广告</x:v>
      </x:c>
      <x:c r="E63" s="467" t="str">
        <x:v>无线标签机</x:v>
      </x:c>
      <x:c r="F63" s="468" t="n">
        <x:v>1</x:v>
      </x:c>
      <x:c r="G63" s="468" t="n">
        <x:v>239</x:v>
      </x:c>
      <x:c r="H63" s="469" t="n">
        <x:v>0.2</x:v>
      </x:c>
      <x:c r="I63" s="470" t="n">
        <x:v>0</x:v>
      </x:c>
      <x:c r="J63" s="468" t="n">
        <x:v>118</x:v>
      </x:c>
      <x:c r="K63" s="467" t="str">
        <x:v>直播活动</x:v>
      </x:c>
    </x:row>
    <x:row r="64">
      <x:c r="A64" s="466" t="n">
        <x:v>46173</x:v>
      </x:c>
      <x:c r="B64" s="467" t="str">
        <x:v>D20260060</x:v>
      </x:c>
      <x:c r="C64" s="467" t="str">
        <x:v>C1004</x:v>
      </x:c>
      <x:c r="D64" s="467" t="str">
        <x:v>自然搜索</x:v>
      </x:c>
      <x:c r="E64" s="467" t="str">
        <x:v>轻量旅行杯</x:v>
      </x:c>
      <x:c r="F64" s="468" t="n">
        <x:v>1</x:v>
      </x:c>
      <x:c r="G64" s="468" t="n">
        <x:v>129</x:v>
      </x:c>
      <x:c r="H64" s="469" t="n">
        <x:v>0.05</x:v>
      </x:c>
      <x:c r="I64" s="470" t="n">
        <x:v>0</x:v>
      </x:c>
      <x:c r="J64" s="468" t="n">
        <x:v>48</x:v>
      </x:c>
      <x:c r="K64" s="467" t="str"/>
    </x:row>
    <x:row r="65">
      <x:c r="A65" s="466" t="n">
        <x:v>46174</x:v>
      </x:c>
      <x:c r="B65" s="467" t="str">
        <x:v>D20260061</x:v>
      </x:c>
      <x:c r="C65" s="467" t="str">
        <x:v>C1040</x:v>
      </x:c>
      <x:c r="D65" s="467" t="str">
        <x:v>老客复购</x:v>
      </x:c>
      <x:c r="E65" s="467" t="str">
        <x:v>无线标签机</x:v>
      </x:c>
      <x:c r="F65" s="468" t="n">
        <x:v>1</x:v>
      </x:c>
      <x:c r="G65" s="468" t="n">
        <x:v>239</x:v>
      </x:c>
      <x:c r="H65" s="469" t="n">
        <x:v>0</x:v>
      </x:c>
      <x:c r="I65" s="470" t="n">
        <x:v>0</x:v>
      </x:c>
      <x:c r="J65" s="468" t="n">
        <x:v>118</x:v>
      </x:c>
      <x:c r="K65" s="467" t="str">
        <x:v>会员复购</x:v>
      </x:c>
    </x:row>
    <x:row r="66">
      <x:c r="A66" s="466" t="n">
        <x:v>46174</x:v>
      </x:c>
      <x:c r="B66" s="467" t="str">
        <x:v>D20260062</x:v>
      </x:c>
      <x:c r="C66" s="467" t="str">
        <x:v>C1132</x:v>
      </x:c>
      <x:c r="D66" s="467" t="str">
        <x:v>抖音广告</x:v>
      </x:c>
      <x:c r="E66" s="467" t="str">
        <x:v>便携补光灯</x:v>
      </x:c>
      <x:c r="F66" s="468" t="n">
        <x:v>1</x:v>
      </x:c>
      <x:c r="G66" s="468" t="n">
        <x:v>159</x:v>
      </x:c>
      <x:c r="H66" s="469" t="n">
        <x:v>0</x:v>
      </x:c>
      <x:c r="I66" s="470" t="n">
        <x:v>0</x:v>
      </x:c>
      <x:c r="J66" s="468" t="n">
        <x:v>72</x:v>
      </x:c>
      <x:c r="K66" s="467" t="str"/>
    </x:row>
    <x:row r="67">
      <x:c r="A67" s="466" t="n">
        <x:v>46174</x:v>
      </x:c>
      <x:c r="B67" s="467" t="str">
        <x:v>D20260063</x:v>
      </x:c>
      <x:c r="C67" s="467" t="str">
        <x:v>C1029</x:v>
      </x:c>
      <x:c r="D67" s="467" t="str">
        <x:v>老客复购</x:v>
      </x:c>
      <x:c r="E67" s="467" t="str">
        <x:v>无线标签机</x:v>
      </x:c>
      <x:c r="F67" s="468" t="n">
        <x:v>1</x:v>
      </x:c>
      <x:c r="G67" s="468" t="n">
        <x:v>239</x:v>
      </x:c>
      <x:c r="H67" s="469" t="n">
        <x:v>0.05</x:v>
      </x:c>
      <x:c r="I67" s="470" t="n">
        <x:v>0</x:v>
      </x:c>
      <x:c r="J67" s="468" t="n">
        <x:v>118</x:v>
      </x:c>
      <x:c r="K67" s="467" t="str">
        <x:v>会员复购</x:v>
      </x:c>
    </x:row>
    <x:row r="68">
      <x:c r="A68" s="466" t="n">
        <x:v>46174</x:v>
      </x:c>
      <x:c r="B68" s="467" t="str">
        <x:v>D20260064</x:v>
      </x:c>
      <x:c r="C68" s="467" t="str">
        <x:v>C1138</x:v>
      </x:c>
      <x:c r="D68" s="467" t="str">
        <x:v>小红书</x:v>
      </x:c>
      <x:c r="E68" s="467" t="str">
        <x:v>轻量旅行杯</x:v>
      </x:c>
      <x:c r="F68" s="468" t="n">
        <x:v>2</x:v>
      </x:c>
      <x:c r="G68" s="468" t="n">
        <x:v>129</x:v>
      </x:c>
      <x:c r="H68" s="469" t="n">
        <x:v>0.05</x:v>
      </x:c>
      <x:c r="I68" s="470" t="n">
        <x:v>0</x:v>
      </x:c>
      <x:c r="J68" s="468" t="n">
        <x:v>48</x:v>
      </x:c>
      <x:c r="K68" s="467" t="str"/>
    </x:row>
    <x:row r="69">
      <x:c r="A69" s="466" t="n">
        <x:v>46175</x:v>
      </x:c>
      <x:c r="B69" s="467" t="str">
        <x:v>D20260065</x:v>
      </x:c>
      <x:c r="C69" s="467" t="str">
        <x:v>C1010</x:v>
      </x:c>
      <x:c r="D69" s="467" t="str">
        <x:v>老客复购</x:v>
      </x:c>
      <x:c r="E69" s="467" t="str">
        <x:v>无线标签机</x:v>
      </x:c>
      <x:c r="F69" s="468" t="n">
        <x:v>1</x:v>
      </x:c>
      <x:c r="G69" s="468" t="n">
        <x:v>239</x:v>
      </x:c>
      <x:c r="H69" s="469" t="n">
        <x:v>0.05</x:v>
      </x:c>
      <x:c r="I69" s="470" t="n">
        <x:v>0</x:v>
      </x:c>
      <x:c r="J69" s="468" t="n">
        <x:v>118</x:v>
      </x:c>
      <x:c r="K69" s="467" t="str">
        <x:v>会员复购</x:v>
      </x:c>
    </x:row>
    <x:row r="70">
      <x:c r="A70" s="466" t="n">
        <x:v>46175</x:v>
      </x:c>
      <x:c r="B70" s="467" t="str">
        <x:v>D20260066</x:v>
      </x:c>
      <x:c r="C70" s="467" t="str">
        <x:v>C1082</x:v>
      </x:c>
      <x:c r="D70" s="467" t="str">
        <x:v>自然搜索</x:v>
      </x:c>
      <x:c r="E70" s="467" t="str">
        <x:v>便携补光灯</x:v>
      </x:c>
      <x:c r="F70" s="468" t="n">
        <x:v>1</x:v>
      </x:c>
      <x:c r="G70" s="468" t="n">
        <x:v>159</x:v>
      </x:c>
      <x:c r="H70" s="469" t="n">
        <x:v>0.05</x:v>
      </x:c>
      <x:c r="I70" s="470" t="n">
        <x:v>0</x:v>
      </x:c>
      <x:c r="J70" s="468" t="n">
        <x:v>72</x:v>
      </x:c>
      <x:c r="K70" s="467" t="str"/>
    </x:row>
    <x:row r="71">
      <x:c r="A71" s="466" t="n">
        <x:v>46176</x:v>
      </x:c>
      <x:c r="B71" s="467" t="str">
        <x:v>D20260067</x:v>
      </x:c>
      <x:c r="C71" s="467" t="str">
        <x:v>C1077</x:v>
      </x:c>
      <x:c r="D71" s="467" t="str">
        <x:v>小红书</x:v>
      </x:c>
      <x:c r="E71" s="467" t="str">
        <x:v>便携补光灯</x:v>
      </x:c>
      <x:c r="F71" s="468" t="n">
        <x:v>2</x:v>
      </x:c>
      <x:c r="G71" s="468" t="n">
        <x:v>159</x:v>
      </x:c>
      <x:c r="H71" s="469" t="n">
        <x:v>0.05</x:v>
      </x:c>
      <x:c r="I71" s="470" t="n">
        <x:v>1</x:v>
      </x:c>
      <x:c r="J71" s="468" t="n">
        <x:v>72</x:v>
      </x:c>
      <x:c r="K71" s="467" t="str">
        <x:v>已退款</x:v>
      </x:c>
    </x:row>
    <x:row r="72">
      <x:c r="A72" s="466" t="n">
        <x:v>46176</x:v>
      </x:c>
      <x:c r="B72" s="467" t="str">
        <x:v>D20260068</x:v>
      </x:c>
      <x:c r="C72" s="467" t="str">
        <x:v>C1064</x:v>
      </x:c>
      <x:c r="D72" s="467" t="str">
        <x:v>抖音广告</x:v>
      </x:c>
      <x:c r="E72" s="467" t="str">
        <x:v>无线标签机</x:v>
      </x:c>
      <x:c r="F72" s="468" t="n">
        <x:v>1</x:v>
      </x:c>
      <x:c r="G72" s="468" t="n">
        <x:v>239</x:v>
      </x:c>
      <x:c r="H72" s="469" t="n">
        <x:v>0.05</x:v>
      </x:c>
      <x:c r="I72" s="470" t="n">
        <x:v>0</x:v>
      </x:c>
      <x:c r="J72" s="468" t="n">
        <x:v>118</x:v>
      </x:c>
      <x:c r="K72" s="467" t="str"/>
    </x:row>
    <x:row r="73">
      <x:c r="A73" s="466" t="n">
        <x:v>46176</x:v>
      </x:c>
      <x:c r="B73" s="467" t="str">
        <x:v>D20260069</x:v>
      </x:c>
      <x:c r="C73" s="467" t="str">
        <x:v>C1090</x:v>
      </x:c>
      <x:c r="D73" s="467" t="str">
        <x:v>自然搜索</x:v>
      </x:c>
      <x:c r="E73" s="467" t="str">
        <x:v>轻量旅行杯</x:v>
      </x:c>
      <x:c r="F73" s="468" t="n">
        <x:v>1</x:v>
      </x:c>
      <x:c r="G73" s="468" t="n">
        <x:v>129</x:v>
      </x:c>
      <x:c r="H73" s="469" t="n">
        <x:v>0</x:v>
      </x:c>
      <x:c r="I73" s="470" t="n">
        <x:v>0</x:v>
      </x:c>
      <x:c r="J73" s="468" t="n">
        <x:v>48</x:v>
      </x:c>
      <x:c r="K73" s="467" t="str"/>
    </x:row>
    <x:row r="74">
      <x:c r="A74" s="466" t="n">
        <x:v>46176</x:v>
      </x:c>
      <x:c r="B74" s="467" t="str">
        <x:v>D20260070</x:v>
      </x:c>
      <x:c r="C74" s="467" t="str">
        <x:v>C1080</x:v>
      </x:c>
      <x:c r="D74" s="467" t="str">
        <x:v>抖音广告</x:v>
      </x:c>
      <x:c r="E74" s="467" t="str">
        <x:v>便携补光灯</x:v>
      </x:c>
      <x:c r="F74" s="468" t="n">
        <x:v>1</x:v>
      </x:c>
      <x:c r="G74" s="468" t="n">
        <x:v>159</x:v>
      </x:c>
      <x:c r="H74" s="469" t="n">
        <x:v>0.1</x:v>
      </x:c>
      <x:c r="I74" s="470" t="n">
        <x:v>0</x:v>
      </x:c>
      <x:c r="J74" s="468" t="n">
        <x:v>72</x:v>
      </x:c>
      <x:c r="K74" s="467" t="str">
        <x:v>直播活动</x:v>
      </x:c>
    </x:row>
    <x:row r="75">
      <x:c r="A75" s="466" t="n">
        <x:v>46177</x:v>
      </x:c>
      <x:c r="B75" s="467" t="str">
        <x:v>D20260071</x:v>
      </x:c>
      <x:c r="C75" s="467" t="str">
        <x:v>C1053</x:v>
      </x:c>
      <x:c r="D75" s="467" t="str">
        <x:v>抖音广告</x:v>
      </x:c>
      <x:c r="E75" s="467" t="str">
        <x:v>桌面收纳架</x:v>
      </x:c>
      <x:c r="F75" s="468" t="n">
        <x:v>1</x:v>
      </x:c>
      <x:c r="G75" s="468" t="n">
        <x:v>89</x:v>
      </x:c>
      <x:c r="H75" s="469" t="n">
        <x:v>0</x:v>
      </x:c>
      <x:c r="I75" s="470" t="n">
        <x:v>0</x:v>
      </x:c>
      <x:c r="J75" s="468" t="n">
        <x:v>32</x:v>
      </x:c>
      <x:c r="K75" s="467" t="str"/>
    </x:row>
    <x:row r="76">
      <x:c r="A76" s="466" t="n">
        <x:v>46178</x:v>
      </x:c>
      <x:c r="B76" s="467" t="str">
        <x:v>D20260072</x:v>
      </x:c>
      <x:c r="C76" s="467" t="str">
        <x:v>C1040</x:v>
      </x:c>
      <x:c r="D76" s="467" t="str">
        <x:v>老客复购</x:v>
      </x:c>
      <x:c r="E76" s="467" t="str">
        <x:v>桌面收纳架</x:v>
      </x:c>
      <x:c r="F76" s="468" t="n">
        <x:v>1</x:v>
      </x:c>
      <x:c r="G76" s="468" t="n">
        <x:v>89</x:v>
      </x:c>
      <x:c r="H76" s="469" t="n">
        <x:v>0.05</x:v>
      </x:c>
      <x:c r="I76" s="470" t="n">
        <x:v>0</x:v>
      </x:c>
      <x:c r="J76" s="468" t="n">
        <x:v>32</x:v>
      </x:c>
      <x:c r="K76" s="467" t="str">
        <x:v>会员复购</x:v>
      </x:c>
    </x:row>
    <x:row r="77">
      <x:c r="A77" s="466" t="n">
        <x:v>46178</x:v>
      </x:c>
      <x:c r="B77" s="467" t="str">
        <x:v>D20260073</x:v>
      </x:c>
      <x:c r="C77" s="467" t="str">
        <x:v>C1067</x:v>
      </x:c>
      <x:c r="D77" s="467" t="str">
        <x:v>自然搜索</x:v>
      </x:c>
      <x:c r="E77" s="467" t="str">
        <x:v>轻量旅行杯</x:v>
      </x:c>
      <x:c r="F77" s="468" t="n">
        <x:v>1</x:v>
      </x:c>
      <x:c r="G77" s="468" t="n">
        <x:v>129</x:v>
      </x:c>
      <x:c r="H77" s="469" t="n">
        <x:v>0</x:v>
      </x:c>
      <x:c r="I77" s="470" t="n">
        <x:v>0</x:v>
      </x:c>
      <x:c r="J77" s="468" t="n">
        <x:v>48</x:v>
      </x:c>
      <x:c r="K77" s="467" t="str"/>
    </x:row>
    <x:row r="78">
      <x:c r="A78" s="466" t="n">
        <x:v>46178</x:v>
      </x:c>
      <x:c r="B78" s="467" t="str">
        <x:v>D20260074</x:v>
      </x:c>
      <x:c r="C78" s="467" t="str">
        <x:v>C1014</x:v>
      </x:c>
      <x:c r="D78" s="467" t="str">
        <x:v>抖音广告</x:v>
      </x:c>
      <x:c r="E78" s="467" t="str">
        <x:v>桌面收纳架</x:v>
      </x:c>
      <x:c r="F78" s="468" t="n">
        <x:v>1</x:v>
      </x:c>
      <x:c r="G78" s="468" t="n">
        <x:v>89</x:v>
      </x:c>
      <x:c r="H78" s="469" t="n">
        <x:v>0</x:v>
      </x:c>
      <x:c r="I78" s="470" t="n">
        <x:v>0</x:v>
      </x:c>
      <x:c r="J78" s="468" t="n">
        <x:v>32</x:v>
      </x:c>
      <x:c r="K78" s="467" t="str"/>
    </x:row>
    <x:row r="79">
      <x:c r="A79" s="466" t="n">
        <x:v>46179</x:v>
      </x:c>
      <x:c r="B79" s="467" t="str">
        <x:v>D20260075</x:v>
      </x:c>
      <x:c r="C79" s="467" t="str">
        <x:v>C1037</x:v>
      </x:c>
      <x:c r="D79" s="467" t="str">
        <x:v>老客复购</x:v>
      </x:c>
      <x:c r="E79" s="467" t="str">
        <x:v>桌面收纳架</x:v>
      </x:c>
      <x:c r="F79" s="468" t="n">
        <x:v>1</x:v>
      </x:c>
      <x:c r="G79" s="468" t="n">
        <x:v>89</x:v>
      </x:c>
      <x:c r="H79" s="469" t="n">
        <x:v>0.1</x:v>
      </x:c>
      <x:c r="I79" s="470" t="n">
        <x:v>0</x:v>
      </x:c>
      <x:c r="J79" s="468" t="n">
        <x:v>32</x:v>
      </x:c>
      <x:c r="K79" s="467" t="str">
        <x:v>会员复购</x:v>
      </x:c>
    </x:row>
    <x:row r="80">
      <x:c r="A80" s="466" t="n">
        <x:v>46179</x:v>
      </x:c>
      <x:c r="B80" s="467" t="str">
        <x:v>D20260076</x:v>
      </x:c>
      <x:c r="C80" s="467" t="str">
        <x:v>C1131</x:v>
      </x:c>
      <x:c r="D80" s="467" t="str">
        <x:v>小红书</x:v>
      </x:c>
      <x:c r="E80" s="467" t="str">
        <x:v>桌面收纳架</x:v>
      </x:c>
      <x:c r="F80" s="468" t="n">
        <x:v>1</x:v>
      </x:c>
      <x:c r="G80" s="468" t="n">
        <x:v>89</x:v>
      </x:c>
      <x:c r="H80" s="469" t="n">
        <x:v>0</x:v>
      </x:c>
      <x:c r="I80" s="470" t="n">
        <x:v>0</x:v>
      </x:c>
      <x:c r="J80" s="468" t="n">
        <x:v>32</x:v>
      </x:c>
      <x:c r="K80" s="467" t="str"/>
    </x:row>
    <x:row r="81">
      <x:c r="A81" s="466" t="n">
        <x:v>46180</x:v>
      </x:c>
      <x:c r="B81" s="467" t="str">
        <x:v>D20260077</x:v>
      </x:c>
      <x:c r="C81" s="467" t="str">
        <x:v>C1132</x:v>
      </x:c>
      <x:c r="D81" s="467" t="str">
        <x:v>抖音广告</x:v>
      </x:c>
      <x:c r="E81" s="467" t="str">
        <x:v>桌面收纳架</x:v>
      </x:c>
      <x:c r="F81" s="468" t="n">
        <x:v>2</x:v>
      </x:c>
      <x:c r="G81" s="468" t="n">
        <x:v>89</x:v>
      </x:c>
      <x:c r="H81" s="469" t="n">
        <x:v>0</x:v>
      </x:c>
      <x:c r="I81" s="470" t="n">
        <x:v>0</x:v>
      </x:c>
      <x:c r="J81" s="468" t="n">
        <x:v>32</x:v>
      </x:c>
      <x:c r="K81" s="467" t="str"/>
    </x:row>
    <x:row r="82">
      <x:c r="A82" s="466" t="n">
        <x:v>46180</x:v>
      </x:c>
      <x:c r="B82" s="467" t="str">
        <x:v>D20260078</x:v>
      </x:c>
      <x:c r="C82" s="467" t="str">
        <x:v>C1029</x:v>
      </x:c>
      <x:c r="D82" s="467" t="str">
        <x:v>老客复购</x:v>
      </x:c>
      <x:c r="E82" s="467" t="str">
        <x:v>桌面收纳架</x:v>
      </x:c>
      <x:c r="F82" s="468" t="n">
        <x:v>2</x:v>
      </x:c>
      <x:c r="G82" s="468" t="n">
        <x:v>89</x:v>
      </x:c>
      <x:c r="H82" s="469" t="n">
        <x:v>0.1</x:v>
      </x:c>
      <x:c r="I82" s="470" t="n">
        <x:v>0</x:v>
      </x:c>
      <x:c r="J82" s="468" t="n">
        <x:v>32</x:v>
      </x:c>
      <x:c r="K82" s="467" t="str">
        <x:v>会员复购</x:v>
      </x:c>
    </x:row>
    <x:row r="83">
      <x:c r="A83" s="466" t="n">
        <x:v>46181</x:v>
      </x:c>
      <x:c r="B83" s="467" t="str">
        <x:v>D20260079</x:v>
      </x:c>
      <x:c r="C83" s="467" t="str">
        <x:v>C1002</x:v>
      </x:c>
      <x:c r="D83" s="467" t="str">
        <x:v>小红书</x:v>
      </x:c>
      <x:c r="E83" s="467" t="str">
        <x:v>无线标签机</x:v>
      </x:c>
      <x:c r="F83" s="468" t="n">
        <x:v>2</x:v>
      </x:c>
      <x:c r="G83" s="468" t="n">
        <x:v>239</x:v>
      </x:c>
      <x:c r="H83" s="469" t="n">
        <x:v>0.1</x:v>
      </x:c>
      <x:c r="I83" s="470" t="n">
        <x:v>0</x:v>
      </x:c>
      <x:c r="J83" s="468" t="n">
        <x:v>118</x:v>
      </x:c>
      <x:c r="K83" s="467" t="str"/>
    </x:row>
    <x:row r="84">
      <x:c r="A84" s="466" t="n">
        <x:v>46181</x:v>
      </x:c>
      <x:c r="B84" s="467" t="str">
        <x:v>D20260080</x:v>
      </x:c>
      <x:c r="C84" s="467" t="str">
        <x:v>C1018</x:v>
      </x:c>
      <x:c r="D84" s="467" t="str">
        <x:v>老客复购</x:v>
      </x:c>
      <x:c r="E84" s="467" t="str">
        <x:v>无线标签机</x:v>
      </x:c>
      <x:c r="F84" s="468" t="n">
        <x:v>1</x:v>
      </x:c>
      <x:c r="G84" s="468" t="n">
        <x:v>239</x:v>
      </x:c>
      <x:c r="H84" s="469" t="n">
        <x:v>0.1</x:v>
      </x:c>
      <x:c r="I84" s="470" t="n">
        <x:v>0</x:v>
      </x:c>
      <x:c r="J84" s="468" t="n">
        <x:v>118</x:v>
      </x:c>
      <x:c r="K84" s="467" t="str">
        <x:v>会员复购</x:v>
      </x:c>
    </x:row>
    <x:row r="85">
      <x:c r="A85" s="466" t="n">
        <x:v>46182</x:v>
      </x:c>
      <x:c r="B85" s="467" t="str">
        <x:v>D20260081</x:v>
      </x:c>
      <x:c r="C85" s="467" t="str">
        <x:v>C1024</x:v>
      </x:c>
      <x:c r="D85" s="467" t="str">
        <x:v>小红书</x:v>
      </x:c>
      <x:c r="E85" s="467" t="str">
        <x:v>无线标签机</x:v>
      </x:c>
      <x:c r="F85" s="468" t="n">
        <x:v>1</x:v>
      </x:c>
      <x:c r="G85" s="468" t="n">
        <x:v>239</x:v>
      </x:c>
      <x:c r="H85" s="469" t="n">
        <x:v>0</x:v>
      </x:c>
      <x:c r="I85" s="470" t="n">
        <x:v>0</x:v>
      </x:c>
      <x:c r="J85" s="468" t="n">
        <x:v>118</x:v>
      </x:c>
      <x:c r="K85" s="467" t="str"/>
    </x:row>
    <x:row r="86">
      <x:c r="A86" s="466" t="n">
        <x:v>46182</x:v>
      </x:c>
      <x:c r="B86" s="467" t="str">
        <x:v>D20260082</x:v>
      </x:c>
      <x:c r="C86" s="467" t="str">
        <x:v>C1126</x:v>
      </x:c>
      <x:c r="D86" s="467" t="str">
        <x:v>抖音广告</x:v>
      </x:c>
      <x:c r="E86" s="467" t="str">
        <x:v>轻量旅行杯</x:v>
      </x:c>
      <x:c r="F86" s="468" t="n">
        <x:v>1</x:v>
      </x:c>
      <x:c r="G86" s="468" t="n">
        <x:v>129</x:v>
      </x:c>
      <x:c r="H86" s="469" t="n">
        <x:v>0</x:v>
      </x:c>
      <x:c r="I86" s="470" t="n">
        <x:v>0</x:v>
      </x:c>
      <x:c r="J86" s="468" t="n">
        <x:v>48</x:v>
      </x:c>
      <x:c r="K86" s="467" t="str"/>
    </x:row>
    <x:row r="87">
      <x:c r="A87" s="466" t="n">
        <x:v>46183</x:v>
      </x:c>
      <x:c r="B87" s="467" t="str">
        <x:v>D20260083</x:v>
      </x:c>
      <x:c r="C87" s="467" t="str">
        <x:v>C1062</x:v>
      </x:c>
      <x:c r="D87" s="467" t="str">
        <x:v>小红书</x:v>
      </x:c>
      <x:c r="E87" s="467" t="str">
        <x:v>无线标签机</x:v>
      </x:c>
      <x:c r="F87" s="468" t="n">
        <x:v>1</x:v>
      </x:c>
      <x:c r="G87" s="468" t="n">
        <x:v>239</x:v>
      </x:c>
      <x:c r="H87" s="469" t="n">
        <x:v>0</x:v>
      </x:c>
      <x:c r="I87" s="470" t="n">
        <x:v>0</x:v>
      </x:c>
      <x:c r="J87" s="468" t="n">
        <x:v>118</x:v>
      </x:c>
      <x:c r="K87" s="467" t="str"/>
    </x:row>
    <x:row r="88">
      <x:c r="A88" s="466" t="n">
        <x:v>46183</x:v>
      </x:c>
      <x:c r="B88" s="467" t="str">
        <x:v>D20260084</x:v>
      </x:c>
      <x:c r="C88" s="467" t="str">
        <x:v>C1044</x:v>
      </x:c>
      <x:c r="D88" s="467" t="str">
        <x:v>小红书</x:v>
      </x:c>
      <x:c r="E88" s="467" t="str">
        <x:v>轻量旅行杯</x:v>
      </x:c>
      <x:c r="F88" s="468" t="n">
        <x:v>1</x:v>
      </x:c>
      <x:c r="G88" s="468" t="n">
        <x:v>129</x:v>
      </x:c>
      <x:c r="H88" s="469" t="n">
        <x:v>0.1</x:v>
      </x:c>
      <x:c r="I88" s="470" t="n">
        <x:v>0</x:v>
      </x:c>
      <x:c r="J88" s="468" t="n">
        <x:v>48</x:v>
      </x:c>
      <x:c r="K88" s="467" t="str"/>
    </x:row>
    <x:row r="89">
      <x:c r="A89" s="466" t="n">
        <x:v>46183</x:v>
      </x:c>
      <x:c r="B89" s="467" t="str">
        <x:v>D20260085</x:v>
      </x:c>
      <x:c r="C89" s="467" t="str">
        <x:v>C1086</x:v>
      </x:c>
      <x:c r="D89" s="467" t="str">
        <x:v>小红书</x:v>
      </x:c>
      <x:c r="E89" s="467" t="str">
        <x:v>轻量旅行杯</x:v>
      </x:c>
      <x:c r="F89" s="468" t="n">
        <x:v>2</x:v>
      </x:c>
      <x:c r="G89" s="468" t="n">
        <x:v>129</x:v>
      </x:c>
      <x:c r="H89" s="469" t="n">
        <x:v>0.2</x:v>
      </x:c>
      <x:c r="I89" s="470" t="n">
        <x:v>0</x:v>
      </x:c>
      <x:c r="J89" s="468" t="n">
        <x:v>48</x:v>
      </x:c>
      <x:c r="K89" s="467" t="str"/>
    </x:row>
    <x:row r="90">
      <x:c r="A90" s="466" t="n">
        <x:v>46183</x:v>
      </x:c>
      <x:c r="B90" s="467" t="str">
        <x:v>D20260086</x:v>
      </x:c>
      <x:c r="C90" s="467" t="str">
        <x:v>C1030</x:v>
      </x:c>
      <x:c r="D90" s="467" t="str">
        <x:v>抖音广告</x:v>
      </x:c>
      <x:c r="E90" s="467" t="str">
        <x:v>轻量旅行杯</x:v>
      </x:c>
      <x:c r="F90" s="468" t="n">
        <x:v>1</x:v>
      </x:c>
      <x:c r="G90" s="468" t="n">
        <x:v>129</x:v>
      </x:c>
      <x:c r="H90" s="469" t="n">
        <x:v>0</x:v>
      </x:c>
      <x:c r="I90" s="470" t="n">
        <x:v>0</x:v>
      </x:c>
      <x:c r="J90" s="468" t="n">
        <x:v>48</x:v>
      </x:c>
      <x:c r="K90" s="467" t="str"/>
    </x:row>
    <x:row r="91">
      <x:c r="A91" s="466" t="n">
        <x:v>46185</x:v>
      </x:c>
      <x:c r="B91" s="467" t="str">
        <x:v>D20260087</x:v>
      </x:c>
      <x:c r="C91" s="467" t="str">
        <x:v>C1141</x:v>
      </x:c>
      <x:c r="D91" s="467" t="str">
        <x:v>小红书</x:v>
      </x:c>
      <x:c r="E91" s="467" t="str">
        <x:v>轻量旅行杯</x:v>
      </x:c>
      <x:c r="F91" s="468" t="n">
        <x:v>2</x:v>
      </x:c>
      <x:c r="G91" s="468" t="n">
        <x:v>129</x:v>
      </x:c>
      <x:c r="H91" s="469" t="n">
        <x:v>0</x:v>
      </x:c>
      <x:c r="I91" s="470" t="n">
        <x:v>0</x:v>
      </x:c>
      <x:c r="J91" s="468" t="n">
        <x:v>48</x:v>
      </x:c>
      <x:c r="K91" s="467" t="str"/>
    </x:row>
    <x:row r="92">
      <x:c r="A92" s="466" t="n">
        <x:v>46185</x:v>
      </x:c>
      <x:c r="B92" s="467" t="str">
        <x:v>D20260088</x:v>
      </x:c>
      <x:c r="C92" s="467" t="str">
        <x:v>C1146</x:v>
      </x:c>
      <x:c r="D92" s="467" t="str">
        <x:v>自然搜索</x:v>
      </x:c>
      <x:c r="E92" s="467" t="str">
        <x:v>无线标签机</x:v>
      </x:c>
      <x:c r="F92" s="468" t="n">
        <x:v>2</x:v>
      </x:c>
      <x:c r="G92" s="468" t="n">
        <x:v>239</x:v>
      </x:c>
      <x:c r="H92" s="469" t="n">
        <x:v>0</x:v>
      </x:c>
      <x:c r="I92" s="470" t="n">
        <x:v>0</x:v>
      </x:c>
      <x:c r="J92" s="468" t="n">
        <x:v>118</x:v>
      </x:c>
      <x:c r="K92" s="467" t="str"/>
    </x:row>
    <x:row r="93">
      <x:c r="A93" s="466" t="n">
        <x:v>46185</x:v>
      </x:c>
      <x:c r="B93" s="467" t="str">
        <x:v>D20260089</x:v>
      </x:c>
      <x:c r="C93" s="467" t="str">
        <x:v>C1051</x:v>
      </x:c>
      <x:c r="D93" s="467" t="str">
        <x:v>抖音广告</x:v>
      </x:c>
      <x:c r="E93" s="467" t="str">
        <x:v>桌面收纳架</x:v>
      </x:c>
      <x:c r="F93" s="468" t="n">
        <x:v>2</x:v>
      </x:c>
      <x:c r="G93" s="468" t="n">
        <x:v>89</x:v>
      </x:c>
      <x:c r="H93" s="469" t="n">
        <x:v>0</x:v>
      </x:c>
      <x:c r="I93" s="470" t="n">
        <x:v>0</x:v>
      </x:c>
      <x:c r="J93" s="468" t="n">
        <x:v>32</x:v>
      </x:c>
      <x:c r="K93" s="467" t="str"/>
    </x:row>
    <x:row r="94">
      <x:c r="A94" s="466" t="n">
        <x:v>46185</x:v>
      </x:c>
      <x:c r="B94" s="467" t="str">
        <x:v>D20260090</x:v>
      </x:c>
      <x:c r="C94" s="467" t="str">
        <x:v>C1011</x:v>
      </x:c>
      <x:c r="D94" s="467" t="str">
        <x:v>抖音广告</x:v>
      </x:c>
      <x:c r="E94" s="467" t="str">
        <x:v>便携补光灯</x:v>
      </x:c>
      <x:c r="F94" s="468" t="n">
        <x:v>1</x:v>
      </x:c>
      <x:c r="G94" s="468" t="n">
        <x:v>159</x:v>
      </x:c>
      <x:c r="H94" s="469" t="n">
        <x:v>0.1</x:v>
      </x:c>
      <x:c r="I94" s="470" t="n">
        <x:v>0</x:v>
      </x:c>
      <x:c r="J94" s="468" t="n">
        <x:v>72</x:v>
      </x:c>
      <x:c r="K94" s="467" t="str">
        <x:v>直播活动</x:v>
      </x:c>
    </x:row>
    <x:row r="95">
      <x:c r="A95" s="466" t="n">
        <x:v>46185</x:v>
      </x:c>
      <x:c r="B95" s="467" t="str">
        <x:v>D20260091</x:v>
      </x:c>
      <x:c r="C95" s="467" t="str">
        <x:v>C1090</x:v>
      </x:c>
      <x:c r="D95" s="467" t="str">
        <x:v>自然搜索</x:v>
      </x:c>
      <x:c r="E95" s="467" t="str">
        <x:v>轻量旅行杯</x:v>
      </x:c>
      <x:c r="F95" s="468" t="n">
        <x:v>1</x:v>
      </x:c>
      <x:c r="G95" s="468" t="n">
        <x:v>129</x:v>
      </x:c>
      <x:c r="H95" s="469" t="n">
        <x:v>0.2</x:v>
      </x:c>
      <x:c r="I95" s="470" t="n">
        <x:v>0</x:v>
      </x:c>
      <x:c r="J95" s="468" t="n">
        <x:v>48</x:v>
      </x:c>
      <x:c r="K95" s="467" t="str"/>
    </x:row>
    <x:row r="96">
      <x:c r="A96" s="466" t="n">
        <x:v>46186</x:v>
      </x:c>
      <x:c r="B96" s="467" t="str">
        <x:v>D20260092</x:v>
      </x:c>
      <x:c r="C96" s="467" t="str">
        <x:v>C1097</x:v>
      </x:c>
      <x:c r="D96" s="467" t="str">
        <x:v>小红书</x:v>
      </x:c>
      <x:c r="E96" s="467" t="str">
        <x:v>桌面收纳架</x:v>
      </x:c>
      <x:c r="F96" s="468" t="n">
        <x:v>1</x:v>
      </x:c>
      <x:c r="G96" s="468" t="n">
        <x:v>89</x:v>
      </x:c>
      <x:c r="H96" s="469" t="n">
        <x:v>0.1</x:v>
      </x:c>
      <x:c r="I96" s="470" t="n">
        <x:v>0</x:v>
      </x:c>
      <x:c r="J96" s="468" t="n">
        <x:v>32</x:v>
      </x:c>
      <x:c r="K96" s="467" t="str"/>
    </x:row>
    <x:row r="97">
      <x:c r="A97" s="466" t="n">
        <x:v>46186</x:v>
      </x:c>
      <x:c r="B97" s="467" t="str">
        <x:v>D20260093</x:v>
      </x:c>
      <x:c r="C97" s="467" t="str">
        <x:v>C1130</x:v>
      </x:c>
      <x:c r="D97" s="467" t="str">
        <x:v>抖音广告</x:v>
      </x:c>
      <x:c r="E97" s="467" t="str">
        <x:v>轻量旅行杯</x:v>
      </x:c>
      <x:c r="F97" s="468" t="n">
        <x:v>1</x:v>
      </x:c>
      <x:c r="G97" s="468" t="n">
        <x:v>129</x:v>
      </x:c>
      <x:c r="H97" s="469" t="n">
        <x:v>0.05</x:v>
      </x:c>
      <x:c r="I97" s="470" t="n">
        <x:v>0</x:v>
      </x:c>
      <x:c r="J97" s="468" t="n">
        <x:v>48</x:v>
      </x:c>
      <x:c r="K97" s="467" t="str"/>
    </x:row>
    <x:row r="98">
      <x:c r="A98" s="466" t="n">
        <x:v>46186</x:v>
      </x:c>
      <x:c r="B98" s="467" t="str">
        <x:v>D20260094</x:v>
      </x:c>
      <x:c r="C98" s="467" t="str">
        <x:v>C1109</x:v>
      </x:c>
      <x:c r="D98" s="467" t="str">
        <x:v>小红书</x:v>
      </x:c>
      <x:c r="E98" s="467" t="str">
        <x:v>轻量旅行杯</x:v>
      </x:c>
      <x:c r="F98" s="468" t="n">
        <x:v>2</x:v>
      </x:c>
      <x:c r="G98" s="468" t="n">
        <x:v>129</x:v>
      </x:c>
      <x:c r="H98" s="469" t="n">
        <x:v>0.05</x:v>
      </x:c>
      <x:c r="I98" s="470" t="n">
        <x:v>0</x:v>
      </x:c>
      <x:c r="J98" s="468" t="n">
        <x:v>48</x:v>
      </x:c>
      <x:c r="K98" s="467" t="str"/>
    </x:row>
    <x:row r="99">
      <x:c r="A99" s="466" t="n">
        <x:v>46186</x:v>
      </x:c>
      <x:c r="B99" s="467" t="str">
        <x:v>D20260095</x:v>
      </x:c>
      <x:c r="C99" s="467" t="str">
        <x:v>C1148</x:v>
      </x:c>
      <x:c r="D99" s="467" t="str">
        <x:v>自然搜索</x:v>
      </x:c>
      <x:c r="E99" s="467" t="str">
        <x:v>轻量旅行杯</x:v>
      </x:c>
      <x:c r="F99" s="468" t="n">
        <x:v>1</x:v>
      </x:c>
      <x:c r="G99" s="468" t="n">
        <x:v>129</x:v>
      </x:c>
      <x:c r="H99" s="469" t="n">
        <x:v>0.05</x:v>
      </x:c>
      <x:c r="I99" s="470" t="n">
        <x:v>0</x:v>
      </x:c>
      <x:c r="J99" s="468" t="n">
        <x:v>48</x:v>
      </x:c>
      <x:c r="K99" s="467" t="str"/>
    </x:row>
    <x:row r="100">
      <x:c r="A100" s="466" t="n">
        <x:v>46186</x:v>
      </x:c>
      <x:c r="B100" s="467" t="str">
        <x:v>D20260096</x:v>
      </x:c>
      <x:c r="C100" s="467" t="str">
        <x:v>C1034</x:v>
      </x:c>
      <x:c r="D100" s="467" t="str">
        <x:v>老客复购</x:v>
      </x:c>
      <x:c r="E100" s="467" t="str">
        <x:v>轻量旅行杯</x:v>
      </x:c>
      <x:c r="F100" s="468" t="n">
        <x:v>1</x:v>
      </x:c>
      <x:c r="G100" s="468" t="n">
        <x:v>129</x:v>
      </x:c>
      <x:c r="H100" s="469" t="n">
        <x:v>0.1</x:v>
      </x:c>
      <x:c r="I100" s="470" t="n">
        <x:v>0</x:v>
      </x:c>
      <x:c r="J100" s="468" t="n">
        <x:v>48</x:v>
      </x:c>
      <x:c r="K100" s="467" t="str">
        <x:v>会员复购</x:v>
      </x:c>
    </x:row>
    <x:row r="101">
      <x:c r="A101" s="466" t="n">
        <x:v>46186</x:v>
      </x:c>
      <x:c r="B101" s="467" t="str">
        <x:v>D20260097</x:v>
      </x:c>
      <x:c r="C101" s="467" t="str">
        <x:v>C1037</x:v>
      </x:c>
      <x:c r="D101" s="467" t="str">
        <x:v>老客复购</x:v>
      </x:c>
      <x:c r="E101" s="467" t="str">
        <x:v>无线标签机</x:v>
      </x:c>
      <x:c r="F101" s="468" t="n">
        <x:v>1</x:v>
      </x:c>
      <x:c r="G101" s="468" t="n">
        <x:v>239</x:v>
      </x:c>
      <x:c r="H101" s="469" t="n">
        <x:v>0</x:v>
      </x:c>
      <x:c r="I101" s="470" t="n">
        <x:v>0</x:v>
      </x:c>
      <x:c r="J101" s="468" t="n">
        <x:v>118</x:v>
      </x:c>
      <x:c r="K101" s="467" t="str">
        <x:v>会员复购</x:v>
      </x:c>
    </x:row>
    <x:row r="102">
      <x:c r="A102" s="466" t="n">
        <x:v>46187</x:v>
      </x:c>
      <x:c r="B102" s="467" t="str">
        <x:v>D20260098</x:v>
      </x:c>
      <x:c r="C102" s="467" t="str">
        <x:v>C1010</x:v>
      </x:c>
      <x:c r="D102" s="467" t="str">
        <x:v>小红书</x:v>
      </x:c>
      <x:c r="E102" s="467" t="str">
        <x:v>桌面收纳架</x:v>
      </x:c>
      <x:c r="F102" s="468" t="n">
        <x:v>2</x:v>
      </x:c>
      <x:c r="G102" s="468" t="n">
        <x:v>89</x:v>
      </x:c>
      <x:c r="H102" s="469" t="n">
        <x:v>0.05</x:v>
      </x:c>
      <x:c r="I102" s="470" t="n">
        <x:v>0</x:v>
      </x:c>
      <x:c r="J102" s="468" t="n">
        <x:v>32</x:v>
      </x:c>
      <x:c r="K102" s="467" t="str"/>
    </x:row>
    <x:row r="103">
      <x:c r="A103" s="466" t="n">
        <x:v>46187</x:v>
      </x:c>
      <x:c r="B103" s="467" t="str">
        <x:v>D20260099</x:v>
      </x:c>
      <x:c r="C103" s="467" t="str">
        <x:v>C1084</x:v>
      </x:c>
      <x:c r="D103" s="467" t="str">
        <x:v>抖音广告</x:v>
      </x:c>
      <x:c r="E103" s="467" t="str">
        <x:v>便携补光灯</x:v>
      </x:c>
      <x:c r="F103" s="468" t="n">
        <x:v>2</x:v>
      </x:c>
      <x:c r="G103" s="468" t="n">
        <x:v>159</x:v>
      </x:c>
      <x:c r="H103" s="469" t="n">
        <x:v>0.05</x:v>
      </x:c>
      <x:c r="I103" s="470" t="n">
        <x:v>0</x:v>
      </x:c>
      <x:c r="J103" s="468" t="n">
        <x:v>72</x:v>
      </x:c>
      <x:c r="K103" s="467" t="str"/>
    </x:row>
    <x:row r="104">
      <x:c r="A104" s="466" t="n">
        <x:v>46187</x:v>
      </x:c>
      <x:c r="B104" s="467" t="str">
        <x:v>D20260100</x:v>
      </x:c>
      <x:c r="C104" s="467" t="str">
        <x:v>C1139</x:v>
      </x:c>
      <x:c r="D104" s="467" t="str">
        <x:v>抖音广告</x:v>
      </x:c>
      <x:c r="E104" s="467" t="str">
        <x:v>无线标签机</x:v>
      </x:c>
      <x:c r="F104" s="468" t="n">
        <x:v>1</x:v>
      </x:c>
      <x:c r="G104" s="468" t="n">
        <x:v>239</x:v>
      </x:c>
      <x:c r="H104" s="469" t="n">
        <x:v>0</x:v>
      </x:c>
      <x:c r="I104" s="470" t="n">
        <x:v>0</x:v>
      </x:c>
      <x:c r="J104" s="468" t="n">
        <x:v>118</x:v>
      </x:c>
      <x:c r="K104" s="467" t="str"/>
    </x:row>
    <x:row r="105">
      <x:c r="A105" s="466" t="n">
        <x:v>46188</x:v>
      </x:c>
      <x:c r="B105" s="467" t="str">
        <x:v>D20260101</x:v>
      </x:c>
      <x:c r="C105" s="467" t="str">
        <x:v>C1128</x:v>
      </x:c>
      <x:c r="D105" s="467" t="str">
        <x:v>抖音广告</x:v>
      </x:c>
      <x:c r="E105" s="467" t="str">
        <x:v>便携补光灯</x:v>
      </x:c>
      <x:c r="F105" s="468" t="n">
        <x:v>1</x:v>
      </x:c>
      <x:c r="G105" s="468" t="n">
        <x:v>159</x:v>
      </x:c>
      <x:c r="H105" s="469" t="n">
        <x:v>0.05</x:v>
      </x:c>
      <x:c r="I105" s="470" t="n">
        <x:v>0</x:v>
      </x:c>
      <x:c r="J105" s="468" t="n">
        <x:v>72</x:v>
      </x:c>
      <x:c r="K105" s="467" t="str"/>
    </x:row>
    <x:row r="106">
      <x:c r="A106" s="466" t="n">
        <x:v>46188</x:v>
      </x:c>
      <x:c r="B106" s="467" t="str">
        <x:v>D20260102</x:v>
      </x:c>
      <x:c r="C106" s="467" t="str">
        <x:v>C1072</x:v>
      </x:c>
      <x:c r="D106" s="467" t="str">
        <x:v>小红书</x:v>
      </x:c>
      <x:c r="E106" s="467" t="str">
        <x:v>便携补光灯</x:v>
      </x:c>
      <x:c r="F106" s="468" t="n">
        <x:v>3</x:v>
      </x:c>
      <x:c r="G106" s="468" t="n">
        <x:v>159</x:v>
      </x:c>
      <x:c r="H106" s="469" t="n">
        <x:v>0.05</x:v>
      </x:c>
      <x:c r="I106" s="470" t="n">
        <x:v>0</x:v>
      </x:c>
      <x:c r="J106" s="468" t="n">
        <x:v>72</x:v>
      </x:c>
      <x:c r="K106" s="467" t="str"/>
    </x:row>
    <x:row r="107">
      <x:c r="A107" s="466" t="n">
        <x:v>46189</x:v>
      </x:c>
      <x:c r="B107" s="467" t="str">
        <x:v>D20260103</x:v>
      </x:c>
      <x:c r="C107" s="467" t="str">
        <x:v>C1107</x:v>
      </x:c>
      <x:c r="D107" s="467" t="str">
        <x:v>自然搜索</x:v>
      </x:c>
      <x:c r="E107" s="467" t="str">
        <x:v>轻量旅行杯</x:v>
      </x:c>
      <x:c r="F107" s="468" t="n">
        <x:v>1</x:v>
      </x:c>
      <x:c r="G107" s="468" t="n">
        <x:v>129</x:v>
      </x:c>
      <x:c r="H107" s="469" t="n">
        <x:v>0</x:v>
      </x:c>
      <x:c r="I107" s="470" t="n">
        <x:v>0</x:v>
      </x:c>
      <x:c r="J107" s="468" t="n">
        <x:v>48</x:v>
      </x:c>
      <x:c r="K107" s="467" t="str"/>
    </x:row>
    <x:row r="108">
      <x:c r="A108" s="466" t="n">
        <x:v>46190</x:v>
      </x:c>
      <x:c r="B108" s="467" t="str">
        <x:v>D20260104</x:v>
      </x:c>
      <x:c r="C108" s="467" t="str">
        <x:v>C1049</x:v>
      </x:c>
      <x:c r="D108" s="467" t="str">
        <x:v>小红书</x:v>
      </x:c>
      <x:c r="E108" s="467" t="str">
        <x:v>便携补光灯</x:v>
      </x:c>
      <x:c r="F108" s="468" t="n">
        <x:v>2</x:v>
      </x:c>
      <x:c r="G108" s="468" t="n">
        <x:v>159</x:v>
      </x:c>
      <x:c r="H108" s="469" t="n">
        <x:v>0.05</x:v>
      </x:c>
      <x:c r="I108" s="470" t="n">
        <x:v>0</x:v>
      </x:c>
      <x:c r="J108" s="468" t="n">
        <x:v>72</x:v>
      </x:c>
      <x:c r="K108" s="467" t="str"/>
    </x:row>
    <x:row r="109">
      <x:c r="A109" s="466" t="n">
        <x:v>46191</x:v>
      </x:c>
      <x:c r="B109" s="467" t="str">
        <x:v>D20260105</x:v>
      </x:c>
      <x:c r="C109" s="467" t="str">
        <x:v>C1034</x:v>
      </x:c>
      <x:c r="D109" s="467" t="str">
        <x:v>老客复购</x:v>
      </x:c>
      <x:c r="E109" s="467" t="str">
        <x:v>轻量旅行杯</x:v>
      </x:c>
      <x:c r="F109" s="468" t="n">
        <x:v>1</x:v>
      </x:c>
      <x:c r="G109" s="468" t="n">
        <x:v>129</x:v>
      </x:c>
      <x:c r="H109" s="469" t="n">
        <x:v>0</x:v>
      </x:c>
      <x:c r="I109" s="470" t="n">
        <x:v>0</x:v>
      </x:c>
      <x:c r="J109" s="468" t="n">
        <x:v>48</x:v>
      </x:c>
      <x:c r="K109" s="467" t="str">
        <x:v>会员复购</x:v>
      </x:c>
    </x:row>
    <x:row r="110">
      <x:c r="A110" s="466" t="n">
        <x:v>46192</x:v>
      </x:c>
      <x:c r="B110" s="467" t="str">
        <x:v>D20260106</x:v>
      </x:c>
      <x:c r="C110" s="467" t="str">
        <x:v>C1132</x:v>
      </x:c>
      <x:c r="D110" s="467" t="str">
        <x:v>抖音广告</x:v>
      </x:c>
      <x:c r="E110" s="467" t="str">
        <x:v>桌面收纳架</x:v>
      </x:c>
      <x:c r="F110" s="468" t="n">
        <x:v>1</x:v>
      </x:c>
      <x:c r="G110" s="468" t="n">
        <x:v>89</x:v>
      </x:c>
      <x:c r="H110" s="469" t="n">
        <x:v>0</x:v>
      </x:c>
      <x:c r="I110" s="470" t="n">
        <x:v>0</x:v>
      </x:c>
      <x:c r="J110" s="468" t="n">
        <x:v>32</x:v>
      </x:c>
      <x:c r="K110" s="467" t="str"/>
    </x:row>
    <x:row r="111">
      <x:c r="A111" s="466" t="n">
        <x:v>46193</x:v>
      </x:c>
      <x:c r="B111" s="467" t="str">
        <x:v>D20260107</x:v>
      </x:c>
      <x:c r="C111" s="467" t="str">
        <x:v>C1001</x:v>
      </x:c>
      <x:c r="D111" s="467" t="str">
        <x:v>老客复购</x:v>
      </x:c>
      <x:c r="E111" s="467" t="str">
        <x:v>轻量旅行杯</x:v>
      </x:c>
      <x:c r="F111" s="468" t="n">
        <x:v>2</x:v>
      </x:c>
      <x:c r="G111" s="468" t="n">
        <x:v>129</x:v>
      </x:c>
      <x:c r="H111" s="469" t="n">
        <x:v>0.1</x:v>
      </x:c>
      <x:c r="I111" s="470" t="n">
        <x:v>1</x:v>
      </x:c>
      <x:c r="J111" s="468" t="n">
        <x:v>48</x:v>
      </x:c>
      <x:c r="K111" s="467" t="str">
        <x:v>会员复购；已退款</x:v>
      </x:c>
    </x:row>
    <x:row r="112">
      <x:c r="A112" s="466" t="n">
        <x:v>46193</x:v>
      </x:c>
      <x:c r="B112" s="467" t="str">
        <x:v>D20260108</x:v>
      </x:c>
      <x:c r="C112" s="467" t="str">
        <x:v>C1025</x:v>
      </x:c>
      <x:c r="D112" s="467" t="str">
        <x:v>老客复购</x:v>
      </x:c>
      <x:c r="E112" s="467" t="str">
        <x:v>桌面收纳架</x:v>
      </x:c>
      <x:c r="F112" s="468" t="n">
        <x:v>2</x:v>
      </x:c>
      <x:c r="G112" s="468" t="n">
        <x:v>89</x:v>
      </x:c>
      <x:c r="H112" s="469" t="n">
        <x:v>0</x:v>
      </x:c>
      <x:c r="I112" s="470" t="n">
        <x:v>0</x:v>
      </x:c>
      <x:c r="J112" s="468" t="n">
        <x:v>32</x:v>
      </x:c>
      <x:c r="K112" s="467" t="str">
        <x:v>会员复购</x:v>
      </x:c>
    </x:row>
    <x:row r="113">
      <x:c r="A113" s="466" t="n">
        <x:v>46194</x:v>
      </x:c>
      <x:c r="B113" s="467" t="str">
        <x:v>D20260109</x:v>
      </x:c>
      <x:c r="C113" s="467" t="str">
        <x:v>C1082</x:v>
      </x:c>
      <x:c r="D113" s="467" t="str">
        <x:v>自然搜索</x:v>
      </x:c>
      <x:c r="E113" s="467" t="str">
        <x:v>便携补光灯</x:v>
      </x:c>
      <x:c r="F113" s="468" t="n">
        <x:v>1</x:v>
      </x:c>
      <x:c r="G113" s="468" t="n">
        <x:v>159</x:v>
      </x:c>
      <x:c r="H113" s="469" t="n">
        <x:v>0.1</x:v>
      </x:c>
      <x:c r="I113" s="470" t="n">
        <x:v>0</x:v>
      </x:c>
      <x:c r="J113" s="468" t="n">
        <x:v>72</x:v>
      </x:c>
      <x:c r="K113" s="467" t="str"/>
    </x:row>
    <x:row r="114">
      <x:c r="A114" s="466" t="n">
        <x:v>46194</x:v>
      </x:c>
      <x:c r="B114" s="467" t="str">
        <x:v>D20260110</x:v>
      </x:c>
      <x:c r="C114" s="467" t="str">
        <x:v>C1108</x:v>
      </x:c>
      <x:c r="D114" s="467" t="str">
        <x:v>自然搜索</x:v>
      </x:c>
      <x:c r="E114" s="467" t="str">
        <x:v>轻量旅行杯</x:v>
      </x:c>
      <x:c r="F114" s="468" t="n">
        <x:v>1</x:v>
      </x:c>
      <x:c r="G114" s="468" t="n">
        <x:v>129</x:v>
      </x:c>
      <x:c r="H114" s="469" t="n">
        <x:v>0.1</x:v>
      </x:c>
      <x:c r="I114" s="470" t="n">
        <x:v>0</x:v>
      </x:c>
      <x:c r="J114" s="468" t="n">
        <x:v>48</x:v>
      </x:c>
      <x:c r="K114" s="467" t="str"/>
    </x:row>
    <x:row r="115">
      <x:c r="A115" s="466" t="n">
        <x:v>46194</x:v>
      </x:c>
      <x:c r="B115" s="467" t="str">
        <x:v>D20260111</x:v>
      </x:c>
      <x:c r="C115" s="467" t="str">
        <x:v>C1037</x:v>
      </x:c>
      <x:c r="D115" s="467" t="str">
        <x:v>自然搜索</x:v>
      </x:c>
      <x:c r="E115" s="467" t="str">
        <x:v>无线标签机</x:v>
      </x:c>
      <x:c r="F115" s="468" t="n">
        <x:v>2</x:v>
      </x:c>
      <x:c r="G115" s="468" t="n">
        <x:v>239</x:v>
      </x:c>
      <x:c r="H115" s="469" t="n">
        <x:v>0.05</x:v>
      </x:c>
      <x:c r="I115" s="470" t="n">
        <x:v>0</x:v>
      </x:c>
      <x:c r="J115" s="468" t="n">
        <x:v>118</x:v>
      </x:c>
      <x:c r="K115" s="467" t="str"/>
    </x:row>
    <x:row r="116">
      <x:c r="A116" s="466" t="n">
        <x:v>46194</x:v>
      </x:c>
      <x:c r="B116" s="467" t="str">
        <x:v>D20260112</x:v>
      </x:c>
      <x:c r="C116" s="467" t="str">
        <x:v>C1140</x:v>
      </x:c>
      <x:c r="D116" s="467" t="str">
        <x:v>小红书</x:v>
      </x:c>
      <x:c r="E116" s="467" t="str">
        <x:v>轻量旅行杯</x:v>
      </x:c>
      <x:c r="F116" s="468" t="n">
        <x:v>1</x:v>
      </x:c>
      <x:c r="G116" s="468" t="n">
        <x:v>129</x:v>
      </x:c>
      <x:c r="H116" s="469" t="n">
        <x:v>0.05</x:v>
      </x:c>
      <x:c r="I116" s="470" t="n">
        <x:v>0</x:v>
      </x:c>
      <x:c r="J116" s="468" t="n">
        <x:v>48</x:v>
      </x:c>
      <x:c r="K116" s="467" t="str"/>
    </x:row>
    <x:row r="117">
      <x:c r="A117" s="466" t="n">
        <x:v>46194</x:v>
      </x:c>
      <x:c r="B117" s="467" t="str">
        <x:v>D20260113</x:v>
      </x:c>
      <x:c r="C117" s="467" t="str">
        <x:v>C1040</x:v>
      </x:c>
      <x:c r="D117" s="467" t="str">
        <x:v>老客复购</x:v>
      </x:c>
      <x:c r="E117" s="467" t="str">
        <x:v>便携补光灯</x:v>
      </x:c>
      <x:c r="F117" s="468" t="n">
        <x:v>1</x:v>
      </x:c>
      <x:c r="G117" s="468" t="n">
        <x:v>159</x:v>
      </x:c>
      <x:c r="H117" s="469" t="n">
        <x:v>0.05</x:v>
      </x:c>
      <x:c r="I117" s="470" t="n">
        <x:v>0</x:v>
      </x:c>
      <x:c r="J117" s="468" t="n">
        <x:v>72</x:v>
      </x:c>
      <x:c r="K117" s="467" t="str">
        <x:v>会员复购</x:v>
      </x:c>
    </x:row>
    <x:row r="118">
      <x:c r="A118" s="466" t="n">
        <x:v>46194</x:v>
      </x:c>
      <x:c r="B118" s="467" t="str">
        <x:v>D20260114</x:v>
      </x:c>
      <x:c r="C118" s="467" t="str">
        <x:v>C1021</x:v>
      </x:c>
      <x:c r="D118" s="467" t="str">
        <x:v>老客复购</x:v>
      </x:c>
      <x:c r="E118" s="467" t="str">
        <x:v>无线标签机</x:v>
      </x:c>
      <x:c r="F118" s="468" t="n">
        <x:v>1</x:v>
      </x:c>
      <x:c r="G118" s="468" t="n">
        <x:v>239</x:v>
      </x:c>
      <x:c r="H118" s="469" t="n">
        <x:v>0.05</x:v>
      </x:c>
      <x:c r="I118" s="470" t="n">
        <x:v>0</x:v>
      </x:c>
      <x:c r="J118" s="468" t="n">
        <x:v>118</x:v>
      </x:c>
      <x:c r="K118" s="467" t="str">
        <x:v>会员复购</x:v>
      </x:c>
    </x:row>
    <x:row r="119">
      <x:c r="A119" s="466" t="n">
        <x:v>46194</x:v>
      </x:c>
      <x:c r="B119" s="467" t="str">
        <x:v>D20260115</x:v>
      </x:c>
      <x:c r="C119" s="467" t="str">
        <x:v>C1017</x:v>
      </x:c>
      <x:c r="D119" s="467" t="str">
        <x:v>老客复购</x:v>
      </x:c>
      <x:c r="E119" s="467" t="str">
        <x:v>轻量旅行杯</x:v>
      </x:c>
      <x:c r="F119" s="468" t="n">
        <x:v>1</x:v>
      </x:c>
      <x:c r="G119" s="468" t="n">
        <x:v>129</x:v>
      </x:c>
      <x:c r="H119" s="469" t="n">
        <x:v>0</x:v>
      </x:c>
      <x:c r="I119" s="470" t="n">
        <x:v>0</x:v>
      </x:c>
      <x:c r="J119" s="468" t="n">
        <x:v>48</x:v>
      </x:c>
      <x:c r="K119" s="467" t="str">
        <x:v>会员复购</x:v>
      </x:c>
    </x:row>
    <x:row r="120">
      <x:c r="A120" s="466" t="n">
        <x:v>46195</x:v>
      </x:c>
      <x:c r="B120" s="467" t="str">
        <x:v>D20260116</x:v>
      </x:c>
      <x:c r="C120" s="467" t="str">
        <x:v>C1008</x:v>
      </x:c>
      <x:c r="D120" s="467" t="str">
        <x:v>自然搜索</x:v>
      </x:c>
      <x:c r="E120" s="467" t="str">
        <x:v>便携补光灯</x:v>
      </x:c>
      <x:c r="F120" s="468" t="n">
        <x:v>3</x:v>
      </x:c>
      <x:c r="G120" s="468" t="n">
        <x:v>159</x:v>
      </x:c>
      <x:c r="H120" s="469" t="n">
        <x:v>0</x:v>
      </x:c>
      <x:c r="I120" s="470" t="n">
        <x:v>0</x:v>
      </x:c>
      <x:c r="J120" s="468" t="n">
        <x:v>72</x:v>
      </x:c>
      <x:c r="K120" s="467" t="str"/>
    </x:row>
    <x:row r="121">
      <x:c r="A121" s="466" t="n">
        <x:v>46195</x:v>
      </x:c>
      <x:c r="B121" s="467" t="str">
        <x:v>D20260117</x:v>
      </x:c>
      <x:c r="C121" s="467" t="str">
        <x:v>C1001</x:v>
      </x:c>
      <x:c r="D121" s="467" t="str">
        <x:v>老客复购</x:v>
      </x:c>
      <x:c r="E121" s="467" t="str">
        <x:v>无线标签机</x:v>
      </x:c>
      <x:c r="F121" s="468" t="n">
        <x:v>1</x:v>
      </x:c>
      <x:c r="G121" s="468" t="n">
        <x:v>239</x:v>
      </x:c>
      <x:c r="H121" s="469" t="n">
        <x:v>0.05</x:v>
      </x:c>
      <x:c r="I121" s="470" t="n">
        <x:v>0</x:v>
      </x:c>
      <x:c r="J121" s="468" t="n">
        <x:v>118</x:v>
      </x:c>
      <x:c r="K121" s="467" t="str">
        <x:v>会员复购</x:v>
      </x:c>
    </x:row>
    <x:row r="122">
      <x:c r="A122" s="466" t="n">
        <x:v>46195</x:v>
      </x:c>
      <x:c r="B122" s="467" t="str">
        <x:v>D20260118</x:v>
      </x:c>
      <x:c r="C122" s="467" t="str">
        <x:v>C1015</x:v>
      </x:c>
      <x:c r="D122" s="467" t="str">
        <x:v>抖音广告</x:v>
      </x:c>
      <x:c r="E122" s="467" t="str">
        <x:v>便携补光灯</x:v>
      </x:c>
      <x:c r="F122" s="468" t="n">
        <x:v>2</x:v>
      </x:c>
      <x:c r="G122" s="468" t="n">
        <x:v>159</x:v>
      </x:c>
      <x:c r="H122" s="469" t="n">
        <x:v>0.2</x:v>
      </x:c>
      <x:c r="I122" s="470" t="n">
        <x:v>0</x:v>
      </x:c>
      <x:c r="J122" s="468" t="n">
        <x:v>72</x:v>
      </x:c>
      <x:c r="K122" s="467" t="str">
        <x:v>直播活动</x:v>
      </x:c>
    </x:row>
    <x:row r="123">
      <x:c r="A123" s="466" t="n">
        <x:v>46196</x:v>
      </x:c>
      <x:c r="B123" s="467" t="str">
        <x:v>D20260119</x:v>
      </x:c>
      <x:c r="C123" s="467" t="str">
        <x:v>C1048</x:v>
      </x:c>
      <x:c r="D123" s="467" t="str">
        <x:v>自然搜索</x:v>
      </x:c>
      <x:c r="E123" s="467" t="str">
        <x:v>轻量旅行杯</x:v>
      </x:c>
      <x:c r="F123" s="468" t="n">
        <x:v>1</x:v>
      </x:c>
      <x:c r="G123" s="468" t="n">
        <x:v>129</x:v>
      </x:c>
      <x:c r="H123" s="469" t="n">
        <x:v>0</x:v>
      </x:c>
      <x:c r="I123" s="470" t="n">
        <x:v>0</x:v>
      </x:c>
      <x:c r="J123" s="468" t="n">
        <x:v>48</x:v>
      </x:c>
      <x:c r="K123" s="467" t="str"/>
    </x:row>
    <x:row r="124">
      <x:c r="A124" s="466" t="n">
        <x:v>46196</x:v>
      </x:c>
      <x:c r="B124" s="467" t="str">
        <x:v>D20260120</x:v>
      </x:c>
      <x:c r="C124" s="467" t="str">
        <x:v>C1106</x:v>
      </x:c>
      <x:c r="D124" s="467" t="str">
        <x:v>抖音广告</x:v>
      </x:c>
      <x:c r="E124" s="467" t="str">
        <x:v>轻量旅行杯</x:v>
      </x:c>
      <x:c r="F124" s="468" t="n">
        <x:v>1</x:v>
      </x:c>
      <x:c r="G124" s="468" t="n">
        <x:v>129</x:v>
      </x:c>
      <x:c r="H124" s="469" t="n">
        <x:v>0.2</x:v>
      </x:c>
      <x:c r="I124" s="470" t="n">
        <x:v>0</x:v>
      </x:c>
      <x:c r="J124" s="468" t="n">
        <x:v>48</x:v>
      </x:c>
      <x:c r="K124" s="467" t="str">
        <x:v>直播活动</x:v>
      </x:c>
    </x:row>
    <x:row r="125">
      <x:c r="A125" s="466" t="n">
        <x:v>46196</x:v>
      </x:c>
      <x:c r="B125" s="467" t="str">
        <x:v>D20260121</x:v>
      </x:c>
      <x:c r="C125" s="467" t="str">
        <x:v>C1036</x:v>
      </x:c>
      <x:c r="D125" s="467" t="str">
        <x:v>自然搜索</x:v>
      </x:c>
      <x:c r="E125" s="467" t="str">
        <x:v>无线标签机</x:v>
      </x:c>
      <x:c r="F125" s="468" t="n">
        <x:v>1</x:v>
      </x:c>
      <x:c r="G125" s="468" t="n">
        <x:v>239</x:v>
      </x:c>
      <x:c r="H125" s="469" t="n">
        <x:v>0.05</x:v>
      </x:c>
      <x:c r="I125" s="470" t="n">
        <x:v>0</x:v>
      </x:c>
      <x:c r="J125" s="468" t="n">
        <x:v>118</x:v>
      </x:c>
      <x:c r="K125" s="467" t="str"/>
    </x:row>
    <x:row r="126">
      <x:c r="A126" s="466" t="n">
        <x:v>46196</x:v>
      </x:c>
      <x:c r="B126" s="467" t="str">
        <x:v>D20260122</x:v>
      </x:c>
      <x:c r="C126" s="467" t="str">
        <x:v>C1071</x:v>
      </x:c>
      <x:c r="D126" s="467" t="str">
        <x:v>自然搜索</x:v>
      </x:c>
      <x:c r="E126" s="467" t="str">
        <x:v>桌面收纳架</x:v>
      </x:c>
      <x:c r="F126" s="468" t="n">
        <x:v>2</x:v>
      </x:c>
      <x:c r="G126" s="468" t="n">
        <x:v>89</x:v>
      </x:c>
      <x:c r="H126" s="469" t="n">
        <x:v>0</x:v>
      </x:c>
      <x:c r="I126" s="470" t="n">
        <x:v>0</x:v>
      </x:c>
      <x:c r="J126" s="468" t="n">
        <x:v>32</x:v>
      </x:c>
      <x:c r="K126" s="467" t="str"/>
    </x:row>
    <x:row r="127">
      <x:c r="A127" s="466" t="n">
        <x:v>46197</x:v>
      </x:c>
      <x:c r="B127" s="467" t="str">
        <x:v>D20260123</x:v>
      </x:c>
      <x:c r="C127" s="467" t="str">
        <x:v>C1062</x:v>
      </x:c>
      <x:c r="D127" s="467" t="str">
        <x:v>抖音广告</x:v>
      </x:c>
      <x:c r="E127" s="467" t="str">
        <x:v>轻量旅行杯</x:v>
      </x:c>
      <x:c r="F127" s="468" t="n">
        <x:v>1</x:v>
      </x:c>
      <x:c r="G127" s="468" t="n">
        <x:v>129</x:v>
      </x:c>
      <x:c r="H127" s="469" t="n">
        <x:v>0.05</x:v>
      </x:c>
      <x:c r="I127" s="470" t="n">
        <x:v>0</x:v>
      </x:c>
      <x:c r="J127" s="468" t="n">
        <x:v>48</x:v>
      </x:c>
      <x:c r="K127" s="467" t="str"/>
    </x:row>
    <x:row r="128">
      <x:c r="A128" s="466" t="n">
        <x:v>46197</x:v>
      </x:c>
      <x:c r="B128" s="467" t="str">
        <x:v>D20260124</x:v>
      </x:c>
      <x:c r="C128" s="467" t="str">
        <x:v>C1007</x:v>
      </x:c>
      <x:c r="D128" s="467" t="str">
        <x:v>自然搜索</x:v>
      </x:c>
      <x:c r="E128" s="467" t="str">
        <x:v>桌面收纳架</x:v>
      </x:c>
      <x:c r="F128" s="468" t="n">
        <x:v>1</x:v>
      </x:c>
      <x:c r="G128" s="468" t="n">
        <x:v>89</x:v>
      </x:c>
      <x:c r="H128" s="469" t="n">
        <x:v>0</x:v>
      </x:c>
      <x:c r="I128" s="470" t="n">
        <x:v>0</x:v>
      </x:c>
      <x:c r="J128" s="468" t="n">
        <x:v>32</x:v>
      </x:c>
      <x:c r="K128" s="467" t="str"/>
    </x:row>
    <x:row r="129">
      <x:c r="A129" s="466" t="n">
        <x:v>46197</x:v>
      </x:c>
      <x:c r="B129" s="467" t="str">
        <x:v>D20260125</x:v>
      </x:c>
      <x:c r="C129" s="467" t="str">
        <x:v>C1017</x:v>
      </x:c>
      <x:c r="D129" s="467" t="str">
        <x:v>自然搜索</x:v>
      </x:c>
      <x:c r="E129" s="467" t="str">
        <x:v>轻量旅行杯</x:v>
      </x:c>
      <x:c r="F129" s="468" t="n">
        <x:v>1</x:v>
      </x:c>
      <x:c r="G129" s="468" t="n">
        <x:v>129</x:v>
      </x:c>
      <x:c r="H129" s="469" t="n">
        <x:v>0.1</x:v>
      </x:c>
      <x:c r="I129" s="470" t="n">
        <x:v>0</x:v>
      </x:c>
      <x:c r="J129" s="468" t="n">
        <x:v>48</x:v>
      </x:c>
      <x:c r="K129" s="467" t="str"/>
    </x:row>
    <x:row r="130">
      <x:c r="A130" s="466" t="n">
        <x:v>46197</x:v>
      </x:c>
      <x:c r="B130" s="467" t="str">
        <x:v>D20260126</x:v>
      </x:c>
      <x:c r="C130" s="467" t="str">
        <x:v>C1135</x:v>
      </x:c>
      <x:c r="D130" s="467" t="str">
        <x:v>小红书</x:v>
      </x:c>
      <x:c r="E130" s="467" t="str">
        <x:v>轻量旅行杯</x:v>
      </x:c>
      <x:c r="F130" s="468" t="n">
        <x:v>2</x:v>
      </x:c>
      <x:c r="G130" s="468" t="n">
        <x:v>129</x:v>
      </x:c>
      <x:c r="H130" s="469" t="n">
        <x:v>0</x:v>
      </x:c>
      <x:c r="I130" s="470" t="n">
        <x:v>0</x:v>
      </x:c>
      <x:c r="J130" s="468" t="n">
        <x:v>48</x:v>
      </x:c>
      <x:c r="K130" s="467" t="str"/>
    </x:row>
    <x:row r="131">
      <x:c r="A131" s="466" t="n">
        <x:v>46198</x:v>
      </x:c>
      <x:c r="B131" s="467" t="str">
        <x:v>D20260127</x:v>
      </x:c>
      <x:c r="C131" s="467" t="str">
        <x:v>C1108</x:v>
      </x:c>
      <x:c r="D131" s="467" t="str">
        <x:v>小红书</x:v>
      </x:c>
      <x:c r="E131" s="467" t="str">
        <x:v>轻量旅行杯</x:v>
      </x:c>
      <x:c r="F131" s="468" t="n">
        <x:v>1</x:v>
      </x:c>
      <x:c r="G131" s="468" t="n">
        <x:v>129</x:v>
      </x:c>
      <x:c r="H131" s="469" t="n">
        <x:v>0.1</x:v>
      </x:c>
      <x:c r="I131" s="470" t="n">
        <x:v>0</x:v>
      </x:c>
      <x:c r="J131" s="468" t="n">
        <x:v>48</x:v>
      </x:c>
      <x:c r="K131" s="467" t="str"/>
    </x:row>
    <x:row r="132">
      <x:c r="A132" s="466" t="n">
        <x:v>46199</x:v>
      </x:c>
      <x:c r="B132" s="467" t="str">
        <x:v>D20260128</x:v>
      </x:c>
      <x:c r="C132" s="467" t="str">
        <x:v>C1110</x:v>
      </x:c>
      <x:c r="D132" s="467" t="str">
        <x:v>自然搜索</x:v>
      </x:c>
      <x:c r="E132" s="467" t="str">
        <x:v>桌面收纳架</x:v>
      </x:c>
      <x:c r="F132" s="468" t="n">
        <x:v>1</x:v>
      </x:c>
      <x:c r="G132" s="468" t="n">
        <x:v>89</x:v>
      </x:c>
      <x:c r="H132" s="469" t="n">
        <x:v>0.05</x:v>
      </x:c>
      <x:c r="I132" s="470" t="n">
        <x:v>0</x:v>
      </x:c>
      <x:c r="J132" s="468" t="n">
        <x:v>32</x:v>
      </x:c>
      <x:c r="K132" s="467" t="str"/>
    </x:row>
    <x:row r="133">
      <x:c r="A133" s="466" t="n">
        <x:v>46199</x:v>
      </x:c>
      <x:c r="B133" s="467" t="str">
        <x:v>D20260129</x:v>
      </x:c>
      <x:c r="C133" s="467" t="str">
        <x:v>C1078</x:v>
      </x:c>
      <x:c r="D133" s="467" t="str">
        <x:v>自然搜索</x:v>
      </x:c>
      <x:c r="E133" s="467" t="str">
        <x:v>桌面收纳架</x:v>
      </x:c>
      <x:c r="F133" s="468" t="n">
        <x:v>1</x:v>
      </x:c>
      <x:c r="G133" s="468" t="n">
        <x:v>89</x:v>
      </x:c>
      <x:c r="H133" s="469" t="n">
        <x:v>0.1</x:v>
      </x:c>
      <x:c r="I133" s="470" t="n">
        <x:v>0</x:v>
      </x:c>
      <x:c r="J133" s="468" t="n">
        <x:v>32</x:v>
      </x:c>
      <x:c r="K133" s="467" t="str"/>
    </x:row>
    <x:row r="134">
      <x:c r="A134" s="466" t="n">
        <x:v>46201</x:v>
      </x:c>
      <x:c r="B134" s="467" t="str">
        <x:v>D20260130</x:v>
      </x:c>
      <x:c r="C134" s="467" t="str">
        <x:v>C1021</x:v>
      </x:c>
      <x:c r="D134" s="467" t="str">
        <x:v>抖音广告</x:v>
      </x:c>
      <x:c r="E134" s="467" t="str">
        <x:v>轻量旅行杯</x:v>
      </x:c>
      <x:c r="F134" s="468" t="n">
        <x:v>1</x:v>
      </x:c>
      <x:c r="G134" s="468" t="n">
        <x:v>129</x:v>
      </x:c>
      <x:c r="H134" s="469" t="n">
        <x:v>0.05</x:v>
      </x:c>
      <x:c r="I134" s="470" t="n">
        <x:v>0</x:v>
      </x:c>
      <x:c r="J134" s="468" t="n">
        <x:v>48</x:v>
      </x:c>
      <x:c r="K134" s="467" t="str"/>
    </x:row>
    <x:row r="135">
      <x:c r="A135" s="466" t="n">
        <x:v>46202</x:v>
      </x:c>
      <x:c r="B135" s="467" t="str">
        <x:v>D20260131</x:v>
      </x:c>
      <x:c r="C135" s="467" t="str">
        <x:v>C1029</x:v>
      </x:c>
      <x:c r="D135" s="467" t="str">
        <x:v>抖音广告</x:v>
      </x:c>
      <x:c r="E135" s="467" t="str">
        <x:v>桌面收纳架</x:v>
      </x:c>
      <x:c r="F135" s="468" t="n">
        <x:v>1</x:v>
      </x:c>
      <x:c r="G135" s="468" t="n">
        <x:v>89</x:v>
      </x:c>
      <x:c r="H135" s="469" t="n">
        <x:v>0.1</x:v>
      </x:c>
      <x:c r="I135" s="470" t="n">
        <x:v>0</x:v>
      </x:c>
      <x:c r="J135" s="468" t="n">
        <x:v>32</x:v>
      </x:c>
      <x:c r="K135" s="467" t="str">
        <x:v>直播活动</x:v>
      </x:c>
    </x:row>
    <x:row r="136">
      <x:c r="A136" s="466" t="n">
        <x:v>46202</x:v>
      </x:c>
      <x:c r="B136" s="467" t="str">
        <x:v>D20260132</x:v>
      </x:c>
      <x:c r="C136" s="467" t="str">
        <x:v>C1092</x:v>
      </x:c>
      <x:c r="D136" s="467" t="str">
        <x:v>自然搜索</x:v>
      </x:c>
      <x:c r="E136" s="467" t="str">
        <x:v>桌面收纳架</x:v>
      </x:c>
      <x:c r="F136" s="468" t="n">
        <x:v>1</x:v>
      </x:c>
      <x:c r="G136" s="468" t="n">
        <x:v>89</x:v>
      </x:c>
      <x:c r="H136" s="469" t="n">
        <x:v>0.1</x:v>
      </x:c>
      <x:c r="I136" s="470" t="n">
        <x:v>0</x:v>
      </x:c>
      <x:c r="J136" s="468" t="n">
        <x:v>32</x:v>
      </x:c>
      <x:c r="K136" s="467" t="str"/>
    </x:row>
    <x:row r="137">
      <x:c r="A137" s="466" t="n">
        <x:v>46203</x:v>
      </x:c>
      <x:c r="B137" s="467" t="str">
        <x:v>D20260133</x:v>
      </x:c>
      <x:c r="C137" s="467" t="str">
        <x:v>C1031</x:v>
      </x:c>
      <x:c r="D137" s="467" t="str">
        <x:v>老客复购</x:v>
      </x:c>
      <x:c r="E137" s="467" t="str">
        <x:v>无线标签机</x:v>
      </x:c>
      <x:c r="F137" s="468" t="n">
        <x:v>1</x:v>
      </x:c>
      <x:c r="G137" s="468" t="n">
        <x:v>239</x:v>
      </x:c>
      <x:c r="H137" s="469" t="n">
        <x:v>0.1</x:v>
      </x:c>
      <x:c r="I137" s="470" t="n">
        <x:v>0</x:v>
      </x:c>
      <x:c r="J137" s="468" t="n">
        <x:v>118</x:v>
      </x:c>
      <x:c r="K137" s="467" t="str">
        <x:v>会员复购</x:v>
      </x:c>
    </x:row>
    <x:row r="138">
      <x:c r="A138" s="466" t="n">
        <x:v>46203</x:v>
      </x:c>
      <x:c r="B138" s="467" t="str">
        <x:v>D20260134</x:v>
      </x:c>
      <x:c r="C138" s="467" t="str">
        <x:v>C1017</x:v>
      </x:c>
      <x:c r="D138" s="467" t="str">
        <x:v>抖音广告</x:v>
      </x:c>
      <x:c r="E138" s="467" t="str">
        <x:v>桌面收纳架</x:v>
      </x:c>
      <x:c r="F138" s="468" t="n">
        <x:v>1</x:v>
      </x:c>
      <x:c r="G138" s="468" t="n">
        <x:v>89</x:v>
      </x:c>
      <x:c r="H138" s="469" t="n">
        <x:v>0.05</x:v>
      </x:c>
      <x:c r="I138" s="470" t="n">
        <x:v>1</x:v>
      </x:c>
      <x:c r="J138" s="468" t="n">
        <x:v>32</x:v>
      </x:c>
      <x:c r="K138" s="467" t="str">
        <x:v>已退款</x:v>
      </x:c>
    </x:row>
    <x:row r="139">
      <x:c r="A139" s="466" t="n">
        <x:v>46203</x:v>
      </x:c>
      <x:c r="B139" s="467" t="str">
        <x:v>D20260135</x:v>
      </x:c>
      <x:c r="C139" s="467" t="str">
        <x:v>C1057</x:v>
      </x:c>
      <x:c r="D139" s="467" t="str">
        <x:v>自然搜索</x:v>
      </x:c>
      <x:c r="E139" s="467" t="str">
        <x:v>无线标签机</x:v>
      </x:c>
      <x:c r="F139" s="468" t="n">
        <x:v>1</x:v>
      </x:c>
      <x:c r="G139" s="468" t="n">
        <x:v>239</x:v>
      </x:c>
      <x:c r="H139" s="469" t="n">
        <x:v>0.05</x:v>
      </x:c>
      <x:c r="I139" s="470" t="n">
        <x:v>0</x:v>
      </x:c>
      <x:c r="J139" s="468" t="n">
        <x:v>118</x:v>
      </x:c>
      <x:c r="K139" s="467" t="str"/>
    </x:row>
    <x:row r="140">
      <x:c r="A140" s="466" t="n">
        <x:v>46205</x:v>
      </x:c>
      <x:c r="B140" s="467" t="str">
        <x:v>D20260136</x:v>
      </x:c>
      <x:c r="C140" s="467" t="str">
        <x:v>C1129</x:v>
      </x:c>
      <x:c r="D140" s="467" t="str">
        <x:v>抖音广告</x:v>
      </x:c>
      <x:c r="E140" s="467" t="str">
        <x:v>便携补光灯</x:v>
      </x:c>
      <x:c r="F140" s="468" t="n">
        <x:v>2</x:v>
      </x:c>
      <x:c r="G140" s="468" t="n">
        <x:v>159</x:v>
      </x:c>
      <x:c r="H140" s="469" t="n">
        <x:v>0.1</x:v>
      </x:c>
      <x:c r="I140" s="470" t="n">
        <x:v>0</x:v>
      </x:c>
      <x:c r="J140" s="468" t="n">
        <x:v>72</x:v>
      </x:c>
      <x:c r="K140" s="467" t="str">
        <x:v>直播活动</x:v>
      </x:c>
    </x:row>
    <x:row r="141">
      <x:c r="A141" s="466" t="n">
        <x:v>46206</x:v>
      </x:c>
      <x:c r="B141" s="467" t="str">
        <x:v>D20260137</x:v>
      </x:c>
      <x:c r="C141" s="467" t="str">
        <x:v>C1070</x:v>
      </x:c>
      <x:c r="D141" s="467" t="str">
        <x:v>抖音广告</x:v>
      </x:c>
      <x:c r="E141" s="467" t="str">
        <x:v>桌面收纳架</x:v>
      </x:c>
      <x:c r="F141" s="468" t="n">
        <x:v>1</x:v>
      </x:c>
      <x:c r="G141" s="468" t="n">
        <x:v>89</x:v>
      </x:c>
      <x:c r="H141" s="469" t="n">
        <x:v>0.1</x:v>
      </x:c>
      <x:c r="I141" s="470" t="n">
        <x:v>0</x:v>
      </x:c>
      <x:c r="J141" s="468" t="n">
        <x:v>32</x:v>
      </x:c>
      <x:c r="K141" s="467" t="str">
        <x:v>直播活动</x:v>
      </x:c>
    </x:row>
    <x:row r="142">
      <x:c r="A142" s="466" t="n">
        <x:v>46206</x:v>
      </x:c>
      <x:c r="B142" s="467" t="str">
        <x:v>D20260138</x:v>
      </x:c>
      <x:c r="C142" s="467" t="str">
        <x:v>C1105</x:v>
      </x:c>
      <x:c r="D142" s="467" t="str">
        <x:v>抖音广告</x:v>
      </x:c>
      <x:c r="E142" s="467" t="str">
        <x:v>轻量旅行杯</x:v>
      </x:c>
      <x:c r="F142" s="468" t="n">
        <x:v>1</x:v>
      </x:c>
      <x:c r="G142" s="468" t="n">
        <x:v>129</x:v>
      </x:c>
      <x:c r="H142" s="469" t="n">
        <x:v>0.05</x:v>
      </x:c>
      <x:c r="I142" s="470" t="n">
        <x:v>0</x:v>
      </x:c>
      <x:c r="J142" s="468" t="n">
        <x:v>48</x:v>
      </x:c>
      <x:c r="K142" s="467" t="str"/>
    </x:row>
    <x:row r="143">
      <x:c r="A143" s="466" t="n">
        <x:v>46207</x:v>
      </x:c>
      <x:c r="B143" s="467" t="str">
        <x:v>D20260139</x:v>
      </x:c>
      <x:c r="C143" s="467" t="str">
        <x:v>C1039</x:v>
      </x:c>
      <x:c r="D143" s="467" t="str">
        <x:v>小红书</x:v>
      </x:c>
      <x:c r="E143" s="467" t="str">
        <x:v>无线标签机</x:v>
      </x:c>
      <x:c r="F143" s="468" t="n">
        <x:v>2</x:v>
      </x:c>
      <x:c r="G143" s="468" t="n">
        <x:v>239</x:v>
      </x:c>
      <x:c r="H143" s="469" t="n">
        <x:v>0</x:v>
      </x:c>
      <x:c r="I143" s="470" t="n">
        <x:v>0</x:v>
      </x:c>
      <x:c r="J143" s="468" t="n">
        <x:v>118</x:v>
      </x:c>
      <x:c r="K143" s="467" t="str"/>
    </x:row>
    <x:row r="144">
      <x:c r="A144" s="466" t="n">
        <x:v>46207</x:v>
      </x:c>
      <x:c r="B144" s="467" t="str">
        <x:v>D20260140</x:v>
      </x:c>
      <x:c r="C144" s="467" t="str">
        <x:v>C1109</x:v>
      </x:c>
      <x:c r="D144" s="467" t="str">
        <x:v>抖音广告</x:v>
      </x:c>
      <x:c r="E144" s="467" t="str">
        <x:v>桌面收纳架</x:v>
      </x:c>
      <x:c r="F144" s="468" t="n">
        <x:v>1</x:v>
      </x:c>
      <x:c r="G144" s="468" t="n">
        <x:v>89</x:v>
      </x:c>
      <x:c r="H144" s="469" t="n">
        <x:v>0</x:v>
      </x:c>
      <x:c r="I144" s="470" t="n">
        <x:v>0</x:v>
      </x:c>
      <x:c r="J144" s="468" t="n">
        <x:v>32</x:v>
      </x:c>
      <x:c r="K144" s="467" t="str"/>
    </x:row>
    <x:row r="145">
      <x:c r="A145" s="466" t="n">
        <x:v>46207</x:v>
      </x:c>
      <x:c r="B145" s="467" t="str">
        <x:v>D20260141</x:v>
      </x:c>
      <x:c r="C145" s="467" t="str">
        <x:v>C1007</x:v>
      </x:c>
      <x:c r="D145" s="467" t="str">
        <x:v>自然搜索</x:v>
      </x:c>
      <x:c r="E145" s="467" t="str">
        <x:v>轻量旅行杯</x:v>
      </x:c>
      <x:c r="F145" s="468" t="n">
        <x:v>1</x:v>
      </x:c>
      <x:c r="G145" s="468" t="n">
        <x:v>129</x:v>
      </x:c>
      <x:c r="H145" s="469" t="n">
        <x:v>0.2</x:v>
      </x:c>
      <x:c r="I145" s="470" t="n">
        <x:v>0</x:v>
      </x:c>
      <x:c r="J145" s="468" t="n">
        <x:v>48</x:v>
      </x:c>
      <x:c r="K145" s="467" t="str"/>
    </x:row>
    <x:row r="146">
      <x:c r="A146" s="466" t="n">
        <x:v>46207</x:v>
      </x:c>
      <x:c r="B146" s="467" t="str">
        <x:v>D20260142</x:v>
      </x:c>
      <x:c r="C146" s="467" t="str">
        <x:v>C1026</x:v>
      </x:c>
      <x:c r="D146" s="467" t="str">
        <x:v>自然搜索</x:v>
      </x:c>
      <x:c r="E146" s="467" t="str">
        <x:v>便携补光灯</x:v>
      </x:c>
      <x:c r="F146" s="468" t="n">
        <x:v>1</x:v>
      </x:c>
      <x:c r="G146" s="468" t="n">
        <x:v>159</x:v>
      </x:c>
      <x:c r="H146" s="469" t="n">
        <x:v>0</x:v>
      </x:c>
      <x:c r="I146" s="470" t="n">
        <x:v>0</x:v>
      </x:c>
      <x:c r="J146" s="468" t="n">
        <x:v>72</x:v>
      </x:c>
      <x:c r="K146" s="467" t="str"/>
    </x:row>
    <x:row r="147">
      <x:c r="A147" s="466" t="n">
        <x:v>46207</x:v>
      </x:c>
      <x:c r="B147" s="467" t="str">
        <x:v>D20260143</x:v>
      </x:c>
      <x:c r="C147" s="467" t="str">
        <x:v>C1016</x:v>
      </x:c>
      <x:c r="D147" s="467" t="str">
        <x:v>老客复购</x:v>
      </x:c>
      <x:c r="E147" s="467" t="str">
        <x:v>桌面收纳架</x:v>
      </x:c>
      <x:c r="F147" s="468" t="n">
        <x:v>2</x:v>
      </x:c>
      <x:c r="G147" s="468" t="n">
        <x:v>89</x:v>
      </x:c>
      <x:c r="H147" s="469" t="n">
        <x:v>0.1</x:v>
      </x:c>
      <x:c r="I147" s="470" t="n">
        <x:v>0</x:v>
      </x:c>
      <x:c r="J147" s="468" t="n">
        <x:v>32</x:v>
      </x:c>
      <x:c r="K147" s="467" t="str">
        <x:v>会员复购</x:v>
      </x:c>
    </x:row>
    <x:row r="148">
      <x:c r="A148" s="466" t="n">
        <x:v>46208</x:v>
      </x:c>
      <x:c r="B148" s="467" t="str">
        <x:v>D20260144</x:v>
      </x:c>
      <x:c r="C148" s="467" t="str">
        <x:v>C1101</x:v>
      </x:c>
      <x:c r="D148" s="467" t="str">
        <x:v>抖音广告</x:v>
      </x:c>
      <x:c r="E148" s="467" t="str">
        <x:v>便携补光灯</x:v>
      </x:c>
      <x:c r="F148" s="468" t="n">
        <x:v>1</x:v>
      </x:c>
      <x:c r="G148" s="468" t="n">
        <x:v>159</x:v>
      </x:c>
      <x:c r="H148" s="469" t="n">
        <x:v>0.05</x:v>
      </x:c>
      <x:c r="I148" s="470" t="n">
        <x:v>0</x:v>
      </x:c>
      <x:c r="J148" s="468" t="n">
        <x:v>72</x:v>
      </x:c>
      <x:c r="K148" s="467" t="str"/>
    </x:row>
    <x:row r="149">
      <x:c r="A149" s="466" t="n">
        <x:v>46208</x:v>
      </x:c>
      <x:c r="B149" s="467" t="str">
        <x:v>D20260145</x:v>
      </x:c>
      <x:c r="C149" s="467" t="str">
        <x:v>C1020</x:v>
      </x:c>
      <x:c r="D149" s="467" t="str">
        <x:v>抖音广告</x:v>
      </x:c>
      <x:c r="E149" s="467" t="str">
        <x:v>便携补光灯</x:v>
      </x:c>
      <x:c r="F149" s="468" t="n">
        <x:v>1</x:v>
      </x:c>
      <x:c r="G149" s="468" t="n">
        <x:v>159</x:v>
      </x:c>
      <x:c r="H149" s="469" t="n">
        <x:v>0.05</x:v>
      </x:c>
      <x:c r="I149" s="470" t="n">
        <x:v>0</x:v>
      </x:c>
      <x:c r="J149" s="468" t="n">
        <x:v>72</x:v>
      </x:c>
      <x:c r="K149" s="467" t="str"/>
    </x:row>
    <x:row r="150">
      <x:c r="A150" s="466" t="n">
        <x:v>46208</x:v>
      </x:c>
      <x:c r="B150" s="467" t="str">
        <x:v>D20260146</x:v>
      </x:c>
      <x:c r="C150" s="467" t="str">
        <x:v>C1026</x:v>
      </x:c>
      <x:c r="D150" s="467" t="str">
        <x:v>自然搜索</x:v>
      </x:c>
      <x:c r="E150" s="467" t="str">
        <x:v>便携补光灯</x:v>
      </x:c>
      <x:c r="F150" s="468" t="n">
        <x:v>1</x:v>
      </x:c>
      <x:c r="G150" s="468" t="n">
        <x:v>159</x:v>
      </x:c>
      <x:c r="H150" s="469" t="n">
        <x:v>0.1</x:v>
      </x:c>
      <x:c r="I150" s="470" t="n">
        <x:v>0</x:v>
      </x:c>
      <x:c r="J150" s="468" t="n">
        <x:v>72</x:v>
      </x:c>
      <x:c r="K150" s="467" t="str"/>
    </x:row>
    <x:row r="151">
      <x:c r="A151" s="466" t="n">
        <x:v>46208</x:v>
      </x:c>
      <x:c r="B151" s="467" t="str">
        <x:v>D20260147</x:v>
      </x:c>
      <x:c r="C151" s="467" t="str">
        <x:v>C1112</x:v>
      </x:c>
      <x:c r="D151" s="467" t="str">
        <x:v>自然搜索</x:v>
      </x:c>
      <x:c r="E151" s="467" t="str">
        <x:v>便携补光灯</x:v>
      </x:c>
      <x:c r="F151" s="468" t="n">
        <x:v>1</x:v>
      </x:c>
      <x:c r="G151" s="468" t="n">
        <x:v>159</x:v>
      </x:c>
      <x:c r="H151" s="469" t="n">
        <x:v>0</x:v>
      </x:c>
      <x:c r="I151" s="470" t="n">
        <x:v>0</x:v>
      </x:c>
      <x:c r="J151" s="468" t="n">
        <x:v>72</x:v>
      </x:c>
      <x:c r="K151" s="467" t="str"/>
    </x:row>
    <x:row r="152">
      <x:c r="A152" s="466" t="n">
        <x:v>46209</x:v>
      </x:c>
      <x:c r="B152" s="467" t="str">
        <x:v>D20260148</x:v>
      </x:c>
      <x:c r="C152" s="467" t="str">
        <x:v>C1109</x:v>
      </x:c>
      <x:c r="D152" s="467" t="str">
        <x:v>自然搜索</x:v>
      </x:c>
      <x:c r="E152" s="467" t="str">
        <x:v>桌面收纳架</x:v>
      </x:c>
      <x:c r="F152" s="468" t="n">
        <x:v>1</x:v>
      </x:c>
      <x:c r="G152" s="468" t="n">
        <x:v>89</x:v>
      </x:c>
      <x:c r="H152" s="469" t="n">
        <x:v>0.05</x:v>
      </x:c>
      <x:c r="I152" s="470" t="n">
        <x:v>0</x:v>
      </x:c>
      <x:c r="J152" s="468" t="n">
        <x:v>32</x:v>
      </x:c>
      <x:c r="K152" s="467" t="str"/>
    </x:row>
    <x:row r="153">
      <x:c r="A153" s="466" t="n">
        <x:v>46209</x:v>
      </x:c>
      <x:c r="B153" s="467" t="str">
        <x:v>D20260149</x:v>
      </x:c>
      <x:c r="C153" s="467" t="str">
        <x:v>C1099</x:v>
      </x:c>
      <x:c r="D153" s="467" t="str">
        <x:v>抖音广告</x:v>
      </x:c>
      <x:c r="E153" s="467" t="str">
        <x:v>轻量旅行杯</x:v>
      </x:c>
      <x:c r="F153" s="468" t="n">
        <x:v>2</x:v>
      </x:c>
      <x:c r="G153" s="468" t="n">
        <x:v>129</x:v>
      </x:c>
      <x:c r="H153" s="469" t="n">
        <x:v>0.05</x:v>
      </x:c>
      <x:c r="I153" s="470" t="n">
        <x:v>0</x:v>
      </x:c>
      <x:c r="J153" s="468" t="n">
        <x:v>48</x:v>
      </x:c>
      <x:c r="K153" s="467" t="str"/>
    </x:row>
    <x:row r="154">
      <x:c r="A154" s="466" t="n">
        <x:v>46209</x:v>
      </x:c>
      <x:c r="B154" s="467" t="str">
        <x:v>D20260150</x:v>
      </x:c>
      <x:c r="C154" s="467" t="str">
        <x:v>C1031</x:v>
      </x:c>
      <x:c r="D154" s="467" t="str">
        <x:v>自然搜索</x:v>
      </x:c>
      <x:c r="E154" s="467" t="str">
        <x:v>便携补光灯</x:v>
      </x:c>
      <x:c r="F154" s="468" t="n">
        <x:v>1</x:v>
      </x:c>
      <x:c r="G154" s="468" t="n">
        <x:v>159</x:v>
      </x:c>
      <x:c r="H154" s="469" t="n">
        <x:v>0.05</x:v>
      </x:c>
      <x:c r="I154" s="470" t="n">
        <x:v>0</x:v>
      </x:c>
      <x:c r="J154" s="468" t="n">
        <x:v>72</x:v>
      </x:c>
      <x:c r="K154" s="467" t="str"/>
    </x:row>
    <x:row r="155">
      <x:c r="A155" s="466" t="n">
        <x:v>46210</x:v>
      </x:c>
      <x:c r="B155" s="467" t="str">
        <x:v>D20260151</x:v>
      </x:c>
      <x:c r="C155" s="467" t="str">
        <x:v>C1137</x:v>
      </x:c>
      <x:c r="D155" s="467" t="str">
        <x:v>抖音广告</x:v>
      </x:c>
      <x:c r="E155" s="467" t="str">
        <x:v>便携补光灯</x:v>
      </x:c>
      <x:c r="F155" s="468" t="n">
        <x:v>1</x:v>
      </x:c>
      <x:c r="G155" s="468" t="n">
        <x:v>159</x:v>
      </x:c>
      <x:c r="H155" s="469" t="n">
        <x:v>0.05</x:v>
      </x:c>
      <x:c r="I155" s="470" t="n">
        <x:v>0</x:v>
      </x:c>
      <x:c r="J155" s="468" t="n">
        <x:v>72</x:v>
      </x:c>
      <x:c r="K155" s="467" t="str"/>
    </x:row>
    <x:row r="156">
      <x:c r="A156" s="466" t="n">
        <x:v>46211</x:v>
      </x:c>
      <x:c r="B156" s="467" t="str">
        <x:v>D20260152</x:v>
      </x:c>
      <x:c r="C156" s="467" t="str">
        <x:v>C1025</x:v>
      </x:c>
      <x:c r="D156" s="467" t="str">
        <x:v>老客复购</x:v>
      </x:c>
      <x:c r="E156" s="467" t="str">
        <x:v>无线标签机</x:v>
      </x:c>
      <x:c r="F156" s="468" t="n">
        <x:v>1</x:v>
      </x:c>
      <x:c r="G156" s="468" t="n">
        <x:v>239</x:v>
      </x:c>
      <x:c r="H156" s="469" t="n">
        <x:v>0</x:v>
      </x:c>
      <x:c r="I156" s="470" t="n">
        <x:v>0</x:v>
      </x:c>
      <x:c r="J156" s="468" t="n">
        <x:v>118</x:v>
      </x:c>
      <x:c r="K156" s="467" t="str">
        <x:v>会员复购</x:v>
      </x:c>
    </x:row>
    <x:row r="157">
      <x:c r="A157" s="466" t="n">
        <x:v>46211</x:v>
      </x:c>
      <x:c r="B157" s="467" t="str">
        <x:v>D20260153</x:v>
      </x:c>
      <x:c r="C157" s="467" t="str">
        <x:v>C1087</x:v>
      </x:c>
      <x:c r="D157" s="467" t="str">
        <x:v>抖音广告</x:v>
      </x:c>
      <x:c r="E157" s="467" t="str">
        <x:v>桌面收纳架</x:v>
      </x:c>
      <x:c r="F157" s="468" t="n">
        <x:v>1</x:v>
      </x:c>
      <x:c r="G157" s="468" t="n">
        <x:v>89</x:v>
      </x:c>
      <x:c r="H157" s="469" t="n">
        <x:v>0</x:v>
      </x:c>
      <x:c r="I157" s="470" t="n">
        <x:v>0</x:v>
      </x:c>
      <x:c r="J157" s="468" t="n">
        <x:v>32</x:v>
      </x:c>
      <x:c r="K157" s="467" t="str"/>
    </x:row>
    <x:row r="158">
      <x:c r="A158" s="466" t="n">
        <x:v>46212</x:v>
      </x:c>
      <x:c r="B158" s="467" t="str">
        <x:v>D20260154</x:v>
      </x:c>
      <x:c r="C158" s="467" t="str">
        <x:v>C1062</x:v>
      </x:c>
      <x:c r="D158" s="467" t="str">
        <x:v>自然搜索</x:v>
      </x:c>
      <x:c r="E158" s="467" t="str">
        <x:v>无线标签机</x:v>
      </x:c>
      <x:c r="F158" s="468" t="n">
        <x:v>1</x:v>
      </x:c>
      <x:c r="G158" s="468" t="n">
        <x:v>239</x:v>
      </x:c>
      <x:c r="H158" s="469" t="n">
        <x:v>0.05</x:v>
      </x:c>
      <x:c r="I158" s="470" t="n">
        <x:v>0</x:v>
      </x:c>
      <x:c r="J158" s="468" t="n">
        <x:v>118</x:v>
      </x:c>
      <x:c r="K158" s="467" t="str"/>
    </x:row>
    <x:row r="159">
      <x:c r="A159" s="466" t="n">
        <x:v>46212</x:v>
      </x:c>
      <x:c r="B159" s="467" t="str">
        <x:v>D20260155</x:v>
      </x:c>
      <x:c r="C159" s="467" t="str">
        <x:v>C1024</x:v>
      </x:c>
      <x:c r="D159" s="467" t="str">
        <x:v>抖音广告</x:v>
      </x:c>
      <x:c r="E159" s="467" t="str">
        <x:v>轻量旅行杯</x:v>
      </x:c>
      <x:c r="F159" s="468" t="n">
        <x:v>1</x:v>
      </x:c>
      <x:c r="G159" s="468" t="n">
        <x:v>129</x:v>
      </x:c>
      <x:c r="H159" s="469" t="n">
        <x:v>0.05</x:v>
      </x:c>
      <x:c r="I159" s="470" t="n">
        <x:v>0</x:v>
      </x:c>
      <x:c r="J159" s="468" t="n">
        <x:v>48</x:v>
      </x:c>
      <x:c r="K159" s="467" t="str"/>
    </x:row>
    <x:row r="160">
      <x:c r="A160" s="466" t="n">
        <x:v>46212</x:v>
      </x:c>
      <x:c r="B160" s="467" t="str">
        <x:v>D20260156</x:v>
      </x:c>
      <x:c r="C160" s="467" t="str">
        <x:v>C1094</x:v>
      </x:c>
      <x:c r="D160" s="467" t="str">
        <x:v>自然搜索</x:v>
      </x:c>
      <x:c r="E160" s="467" t="str">
        <x:v>轻量旅行杯</x:v>
      </x:c>
      <x:c r="F160" s="468" t="n">
        <x:v>1</x:v>
      </x:c>
      <x:c r="G160" s="468" t="n">
        <x:v>129</x:v>
      </x:c>
      <x:c r="H160" s="469" t="n">
        <x:v>0</x:v>
      </x:c>
      <x:c r="I160" s="470" t="n">
        <x:v>0</x:v>
      </x:c>
      <x:c r="J160" s="468" t="n">
        <x:v>48</x:v>
      </x:c>
      <x:c r="K160" s="467" t="str"/>
    </x:row>
    <x:row r="161">
      <x:c r="A161" s="466" t="n">
        <x:v>46212</x:v>
      </x:c>
      <x:c r="B161" s="467" t="str">
        <x:v>D20260157</x:v>
      </x:c>
      <x:c r="C161" s="467" t="str">
        <x:v>C1149</x:v>
      </x:c>
      <x:c r="D161" s="467" t="str">
        <x:v>自然搜索</x:v>
      </x:c>
      <x:c r="E161" s="467" t="str">
        <x:v>桌面收纳架</x:v>
      </x:c>
      <x:c r="F161" s="468" t="n">
        <x:v>1</x:v>
      </x:c>
      <x:c r="G161" s="468" t="n">
        <x:v>89</x:v>
      </x:c>
      <x:c r="H161" s="469" t="n">
        <x:v>0.1</x:v>
      </x:c>
      <x:c r="I161" s="470" t="n">
        <x:v>0</x:v>
      </x:c>
      <x:c r="J161" s="468" t="n">
        <x:v>32</x:v>
      </x:c>
      <x:c r="K161" s="467" t="str"/>
    </x:row>
    <x:row r="162">
      <x:c r="A162" s="466" t="n">
        <x:v>46212</x:v>
      </x:c>
      <x:c r="B162" s="467" t="str">
        <x:v>D20260158</x:v>
      </x:c>
      <x:c r="C162" s="467" t="str">
        <x:v>C1010</x:v>
      </x:c>
      <x:c r="D162" s="467" t="str">
        <x:v>抖音广告</x:v>
      </x:c>
      <x:c r="E162" s="467" t="str">
        <x:v>便携补光灯</x:v>
      </x:c>
      <x:c r="F162" s="468" t="n">
        <x:v>2</x:v>
      </x:c>
      <x:c r="G162" s="468" t="n">
        <x:v>159</x:v>
      </x:c>
      <x:c r="H162" s="469" t="n">
        <x:v>0.05</x:v>
      </x:c>
      <x:c r="I162" s="470" t="n">
        <x:v>0</x:v>
      </x:c>
      <x:c r="J162" s="468" t="n">
        <x:v>72</x:v>
      </x:c>
      <x:c r="K162" s="467" t="str"/>
    </x:row>
    <x:row r="163">
      <x:c r="A163" s="466" t="n">
        <x:v>46213</x:v>
      </x:c>
      <x:c r="B163" s="467" t="str">
        <x:v>D20260159</x:v>
      </x:c>
      <x:c r="C163" s="467" t="str">
        <x:v>C1139</x:v>
      </x:c>
      <x:c r="D163" s="467" t="str">
        <x:v>小红书</x:v>
      </x:c>
      <x:c r="E163" s="467" t="str">
        <x:v>无线标签机</x:v>
      </x:c>
      <x:c r="F163" s="468" t="n">
        <x:v>1</x:v>
      </x:c>
      <x:c r="G163" s="468" t="n">
        <x:v>239</x:v>
      </x:c>
      <x:c r="H163" s="469" t="n">
        <x:v>0</x:v>
      </x:c>
      <x:c r="I163" s="470" t="n">
        <x:v>0</x:v>
      </x:c>
      <x:c r="J163" s="468" t="n">
        <x:v>118</x:v>
      </x:c>
      <x:c r="K163" s="467" t="str"/>
    </x:row>
    <x:row r="164">
      <x:c r="A164" s="466" t="n">
        <x:v>46213</x:v>
      </x:c>
      <x:c r="B164" s="467" t="str">
        <x:v>D20260160</x:v>
      </x:c>
      <x:c r="C164" s="467" t="str">
        <x:v>C1144</x:v>
      </x:c>
      <x:c r="D164" s="467" t="str">
        <x:v>小红书</x:v>
      </x:c>
      <x:c r="E164" s="467" t="str">
        <x:v>无线标签机</x:v>
      </x:c>
      <x:c r="F164" s="468" t="n">
        <x:v>1</x:v>
      </x:c>
      <x:c r="G164" s="468" t="n">
        <x:v>239</x:v>
      </x:c>
      <x:c r="H164" s="469" t="n">
        <x:v>0.1</x:v>
      </x:c>
      <x:c r="I164" s="470" t="n">
        <x:v>0</x:v>
      </x:c>
      <x:c r="J164" s="468" t="n">
        <x:v>118</x:v>
      </x:c>
      <x:c r="K164" s="467" t="str"/>
    </x:row>
    <x:row r="165">
      <x:c r="A165" s="466" t="n">
        <x:v>46213</x:v>
      </x:c>
      <x:c r="B165" s="467" t="str">
        <x:v>D20260161</x:v>
      </x:c>
      <x:c r="C165" s="467" t="str">
        <x:v>C1126</x:v>
      </x:c>
      <x:c r="D165" s="467" t="str">
        <x:v>抖音广告</x:v>
      </x:c>
      <x:c r="E165" s="467" t="str">
        <x:v>便携补光灯</x:v>
      </x:c>
      <x:c r="F165" s="468" t="n">
        <x:v>3</x:v>
      </x:c>
      <x:c r="G165" s="468" t="n">
        <x:v>159</x:v>
      </x:c>
      <x:c r="H165" s="469" t="n">
        <x:v>0</x:v>
      </x:c>
      <x:c r="I165" s="470" t="n">
        <x:v>0</x:v>
      </x:c>
      <x:c r="J165" s="468" t="n">
        <x:v>72</x:v>
      </x:c>
      <x:c r="K165" s="467" t="str"/>
    </x:row>
    <x:row r="166">
      <x:c r="A166" s="466" t="n">
        <x:v>46213</x:v>
      </x:c>
      <x:c r="B166" s="467" t="str">
        <x:v>D20260162</x:v>
      </x:c>
      <x:c r="C166" s="467" t="str">
        <x:v>C1024</x:v>
      </x:c>
      <x:c r="D166" s="467" t="str">
        <x:v>小红书</x:v>
      </x:c>
      <x:c r="E166" s="467" t="str">
        <x:v>便携补光灯</x:v>
      </x:c>
      <x:c r="F166" s="468" t="n">
        <x:v>2</x:v>
      </x:c>
      <x:c r="G166" s="468" t="n">
        <x:v>159</x:v>
      </x:c>
      <x:c r="H166" s="469" t="n">
        <x:v>0.2</x:v>
      </x:c>
      <x:c r="I166" s="470" t="n">
        <x:v>0</x:v>
      </x:c>
      <x:c r="J166" s="468" t="n">
        <x:v>72</x:v>
      </x:c>
      <x:c r="K166" s="467" t="str"/>
    </x:row>
    <x:row r="167">
      <x:c r="A167" s="466" t="n">
        <x:v>46214</x:v>
      </x:c>
      <x:c r="B167" s="467" t="str">
        <x:v>D20260163</x:v>
      </x:c>
      <x:c r="C167" s="467" t="str">
        <x:v>C1040</x:v>
      </x:c>
      <x:c r="D167" s="467" t="str">
        <x:v>小红书</x:v>
      </x:c>
      <x:c r="E167" s="467" t="str">
        <x:v>桌面收纳架</x:v>
      </x:c>
      <x:c r="F167" s="468" t="n">
        <x:v>1</x:v>
      </x:c>
      <x:c r="G167" s="468" t="n">
        <x:v>89</x:v>
      </x:c>
      <x:c r="H167" s="469" t="n">
        <x:v>0.05</x:v>
      </x:c>
      <x:c r="I167" s="470" t="n">
        <x:v>0</x:v>
      </x:c>
      <x:c r="J167" s="468" t="n">
        <x:v>32</x:v>
      </x:c>
      <x:c r="K167" s="467" t="str"/>
    </x:row>
    <x:row r="168">
      <x:c r="A168" s="466" t="n">
        <x:v>46215</x:v>
      </x:c>
      <x:c r="B168" s="467" t="str">
        <x:v>D20260164</x:v>
      </x:c>
      <x:c r="C168" s="467" t="str">
        <x:v>C1098</x:v>
      </x:c>
      <x:c r="D168" s="467" t="str">
        <x:v>自然搜索</x:v>
      </x:c>
      <x:c r="E168" s="467" t="str">
        <x:v>桌面收纳架</x:v>
      </x:c>
      <x:c r="F168" s="468" t="n">
        <x:v>2</x:v>
      </x:c>
      <x:c r="G168" s="468" t="n">
        <x:v>89</x:v>
      </x:c>
      <x:c r="H168" s="469" t="n">
        <x:v>0.05</x:v>
      </x:c>
      <x:c r="I168" s="470" t="n">
        <x:v>0</x:v>
      </x:c>
      <x:c r="J168" s="468" t="n">
        <x:v>32</x:v>
      </x:c>
      <x:c r="K168" s="467" t="str"/>
    </x:row>
    <x:row r="169">
      <x:c r="A169" s="466" t="n">
        <x:v>46215</x:v>
      </x:c>
      <x:c r="B169" s="467" t="str">
        <x:v>D20260165</x:v>
      </x:c>
      <x:c r="C169" s="467" t="str">
        <x:v>C1134</x:v>
      </x:c>
      <x:c r="D169" s="467" t="str">
        <x:v>小红书</x:v>
      </x:c>
      <x:c r="E169" s="467" t="str">
        <x:v>桌面收纳架</x:v>
      </x:c>
      <x:c r="F169" s="468" t="n">
        <x:v>2</x:v>
      </x:c>
      <x:c r="G169" s="468" t="n">
        <x:v>89</x:v>
      </x:c>
      <x:c r="H169" s="469" t="n">
        <x:v>0</x:v>
      </x:c>
      <x:c r="I169" s="470" t="n">
        <x:v>0</x:v>
      </x:c>
      <x:c r="J169" s="468" t="n">
        <x:v>32</x:v>
      </x:c>
      <x:c r="K169" s="467" t="str"/>
    </x:row>
    <x:row r="170">
      <x:c r="A170" s="466" t="n">
        <x:v>46216</x:v>
      </x:c>
      <x:c r="B170" s="467" t="str">
        <x:v>D20260166</x:v>
      </x:c>
      <x:c r="C170" s="467" t="str">
        <x:v>C1095</x:v>
      </x:c>
      <x:c r="D170" s="467" t="str">
        <x:v>小红书</x:v>
      </x:c>
      <x:c r="E170" s="467" t="str">
        <x:v>轻量旅行杯</x:v>
      </x:c>
      <x:c r="F170" s="468" t="n">
        <x:v>1</x:v>
      </x:c>
      <x:c r="G170" s="468" t="n">
        <x:v>129</x:v>
      </x:c>
      <x:c r="H170" s="469" t="n">
        <x:v>0.05</x:v>
      </x:c>
      <x:c r="I170" s="470" t="n">
        <x:v>0</x:v>
      </x:c>
      <x:c r="J170" s="468" t="n">
        <x:v>48</x:v>
      </x:c>
      <x:c r="K170" s="467" t="str"/>
    </x:row>
    <x:row r="171">
      <x:c r="A171" s="466" t="n">
        <x:v>46216</x:v>
      </x:c>
      <x:c r="B171" s="467" t="str">
        <x:v>D20260167</x:v>
      </x:c>
      <x:c r="C171" s="467" t="str">
        <x:v>C1090</x:v>
      </x:c>
      <x:c r="D171" s="467" t="str">
        <x:v>小红书</x:v>
      </x:c>
      <x:c r="E171" s="467" t="str">
        <x:v>无线标签机</x:v>
      </x:c>
      <x:c r="F171" s="468" t="n">
        <x:v>1</x:v>
      </x:c>
      <x:c r="G171" s="468" t="n">
        <x:v>239</x:v>
      </x:c>
      <x:c r="H171" s="469" t="n">
        <x:v>0</x:v>
      </x:c>
      <x:c r="I171" s="470" t="n">
        <x:v>0</x:v>
      </x:c>
      <x:c r="J171" s="468" t="n">
        <x:v>118</x:v>
      </x:c>
      <x:c r="K171" s="467" t="str"/>
    </x:row>
    <x:row r="172">
      <x:c r="A172" s="466" t="n">
        <x:v>46216</x:v>
      </x:c>
      <x:c r="B172" s="467" t="str">
        <x:v>D20260168</x:v>
      </x:c>
      <x:c r="C172" s="467" t="str">
        <x:v>C1019</x:v>
      </x:c>
      <x:c r="D172" s="467" t="str">
        <x:v>老客复购</x:v>
      </x:c>
      <x:c r="E172" s="467" t="str">
        <x:v>轻量旅行杯</x:v>
      </x:c>
      <x:c r="F172" s="468" t="n">
        <x:v>1</x:v>
      </x:c>
      <x:c r="G172" s="468" t="n">
        <x:v>129</x:v>
      </x:c>
      <x:c r="H172" s="469" t="n">
        <x:v>0.05</x:v>
      </x:c>
      <x:c r="I172" s="470" t="n">
        <x:v>0</x:v>
      </x:c>
      <x:c r="J172" s="468" t="n">
        <x:v>48</x:v>
      </x:c>
      <x:c r="K172" s="467" t="str">
        <x:v>会员复购</x:v>
      </x:c>
    </x:row>
    <x:row r="173">
      <x:c r="A173" s="466" t="n">
        <x:v>46216</x:v>
      </x:c>
      <x:c r="B173" s="467" t="str">
        <x:v>D20260169</x:v>
      </x:c>
      <x:c r="C173" s="467" t="str">
        <x:v>C1072</x:v>
      </x:c>
      <x:c r="D173" s="467" t="str">
        <x:v>抖音广告</x:v>
      </x:c>
      <x:c r="E173" s="467" t="str">
        <x:v>轻量旅行杯</x:v>
      </x:c>
      <x:c r="F173" s="468" t="n">
        <x:v>2</x:v>
      </x:c>
      <x:c r="G173" s="468" t="n">
        <x:v>129</x:v>
      </x:c>
      <x:c r="H173" s="469" t="n">
        <x:v>0</x:v>
      </x:c>
      <x:c r="I173" s="470" t="n">
        <x:v>0</x:v>
      </x:c>
      <x:c r="J173" s="468" t="n">
        <x:v>48</x:v>
      </x:c>
      <x:c r="K173" s="467" t="str"/>
    </x:row>
    <x:row r="174">
      <x:c r="A174" s="466" t="n">
        <x:v>46217</x:v>
      </x:c>
      <x:c r="B174" s="467" t="str">
        <x:v>D20260170</x:v>
      </x:c>
      <x:c r="C174" s="467" t="str">
        <x:v>C1146</x:v>
      </x:c>
      <x:c r="D174" s="467" t="str">
        <x:v>自然搜索</x:v>
      </x:c>
      <x:c r="E174" s="467" t="str">
        <x:v>无线标签机</x:v>
      </x:c>
      <x:c r="F174" s="468" t="n">
        <x:v>1</x:v>
      </x:c>
      <x:c r="G174" s="468" t="n">
        <x:v>239</x:v>
      </x:c>
      <x:c r="H174" s="469" t="n">
        <x:v>0</x:v>
      </x:c>
      <x:c r="I174" s="470" t="n">
        <x:v>0</x:v>
      </x:c>
      <x:c r="J174" s="468" t="n">
        <x:v>118</x:v>
      </x:c>
      <x:c r="K174" s="467" t="str"/>
    </x:row>
    <x:row r="175">
      <x:c r="A175" s="466" t="n">
        <x:v>46217</x:v>
      </x:c>
      <x:c r="B175" s="467" t="str">
        <x:v>D20260171</x:v>
      </x:c>
      <x:c r="C175" s="467" t="str">
        <x:v>C1129</x:v>
      </x:c>
      <x:c r="D175" s="467" t="str">
        <x:v>自然搜索</x:v>
      </x:c>
      <x:c r="E175" s="467" t="str">
        <x:v>无线标签机</x:v>
      </x:c>
      <x:c r="F175" s="468" t="n">
        <x:v>1</x:v>
      </x:c>
      <x:c r="G175" s="468" t="n">
        <x:v>239</x:v>
      </x:c>
      <x:c r="H175" s="469" t="n">
        <x:v>0.1</x:v>
      </x:c>
      <x:c r="I175" s="470" t="n">
        <x:v>0</x:v>
      </x:c>
      <x:c r="J175" s="468" t="n">
        <x:v>118</x:v>
      </x:c>
      <x:c r="K175" s="467" t="str"/>
    </x:row>
    <x:row r="176">
      <x:c r="A176" s="466" t="n">
        <x:v>46218</x:v>
      </x:c>
      <x:c r="B176" s="467" t="str">
        <x:v>D20260172</x:v>
      </x:c>
      <x:c r="C176" s="467" t="str">
        <x:v>C1055</x:v>
      </x:c>
      <x:c r="D176" s="467" t="str">
        <x:v>抖音广告</x:v>
      </x:c>
      <x:c r="E176" s="467" t="str">
        <x:v>轻量旅行杯</x:v>
      </x:c>
      <x:c r="F176" s="468" t="n">
        <x:v>1</x:v>
      </x:c>
      <x:c r="G176" s="468" t="n">
        <x:v>129</x:v>
      </x:c>
      <x:c r="H176" s="469" t="n">
        <x:v>0</x:v>
      </x:c>
      <x:c r="I176" s="470" t="n">
        <x:v>0</x:v>
      </x:c>
      <x:c r="J176" s="468" t="n">
        <x:v>48</x:v>
      </x:c>
      <x:c r="K176" s="467" t="str"/>
    </x:row>
    <x:row r="177">
      <x:c r="A177" s="466" t="n">
        <x:v>46218</x:v>
      </x:c>
      <x:c r="B177" s="467" t="str">
        <x:v>D20260173</x:v>
      </x:c>
      <x:c r="C177" s="467" t="str">
        <x:v>C1031</x:v>
      </x:c>
      <x:c r="D177" s="467" t="str">
        <x:v>自然搜索</x:v>
      </x:c>
      <x:c r="E177" s="467" t="str">
        <x:v>轻量旅行杯</x:v>
      </x:c>
      <x:c r="F177" s="468" t="n">
        <x:v>1</x:v>
      </x:c>
      <x:c r="G177" s="468" t="n">
        <x:v>129</x:v>
      </x:c>
      <x:c r="H177" s="469" t="n">
        <x:v>0.1</x:v>
      </x:c>
      <x:c r="I177" s="470" t="n">
        <x:v>0</x:v>
      </x:c>
      <x:c r="J177" s="468" t="n">
        <x:v>48</x:v>
      </x:c>
      <x:c r="K177" s="467" t="str"/>
    </x:row>
    <x:row r="178">
      <x:c r="A178" s="466" t="n">
        <x:v>46218</x:v>
      </x:c>
      <x:c r="B178" s="467" t="str">
        <x:v>D20260174</x:v>
      </x:c>
      <x:c r="C178" s="467" t="str">
        <x:v>C1107</x:v>
      </x:c>
      <x:c r="D178" s="467" t="str">
        <x:v>抖音广告</x:v>
      </x:c>
      <x:c r="E178" s="467" t="str">
        <x:v>无线标签机</x:v>
      </x:c>
      <x:c r="F178" s="468" t="n">
        <x:v>1</x:v>
      </x:c>
      <x:c r="G178" s="468" t="n">
        <x:v>239</x:v>
      </x:c>
      <x:c r="H178" s="469" t="n">
        <x:v>0.05</x:v>
      </x:c>
      <x:c r="I178" s="470" t="n">
        <x:v>0</x:v>
      </x:c>
      <x:c r="J178" s="468" t="n">
        <x:v>118</x:v>
      </x:c>
      <x:c r="K178" s="467" t="str"/>
    </x:row>
    <x:row r="179">
      <x:c r="A179" s="466" t="n">
        <x:v>46219</x:v>
      </x:c>
      <x:c r="B179" s="467" t="str">
        <x:v>D20260175</x:v>
      </x:c>
      <x:c r="C179" s="467" t="str">
        <x:v>C1090</x:v>
      </x:c>
      <x:c r="D179" s="467" t="str">
        <x:v>抖音广告</x:v>
      </x:c>
      <x:c r="E179" s="467" t="str">
        <x:v>便携补光灯</x:v>
      </x:c>
      <x:c r="F179" s="468" t="n">
        <x:v>1</x:v>
      </x:c>
      <x:c r="G179" s="468" t="n">
        <x:v>159</x:v>
      </x:c>
      <x:c r="H179" s="469" t="n">
        <x:v>0.1</x:v>
      </x:c>
      <x:c r="I179" s="470" t="n">
        <x:v>0</x:v>
      </x:c>
      <x:c r="J179" s="468" t="n">
        <x:v>72</x:v>
      </x:c>
      <x:c r="K179" s="467" t="str">
        <x:v>直播活动</x:v>
      </x:c>
    </x:row>
    <x:row r="180">
      <x:c r="A180" s="466" t="n">
        <x:v>46219</x:v>
      </x:c>
      <x:c r="B180" s="467" t="str">
        <x:v>D20260176</x:v>
      </x:c>
      <x:c r="C180" s="467" t="str">
        <x:v>C1111</x:v>
      </x:c>
      <x:c r="D180" s="467" t="str">
        <x:v>自然搜索</x:v>
      </x:c>
      <x:c r="E180" s="467" t="str">
        <x:v>轻量旅行杯</x:v>
      </x:c>
      <x:c r="F180" s="468" t="n">
        <x:v>1</x:v>
      </x:c>
      <x:c r="G180" s="468" t="n">
        <x:v>129</x:v>
      </x:c>
      <x:c r="H180" s="469" t="n">
        <x:v>0</x:v>
      </x:c>
      <x:c r="I180" s="470" t="n">
        <x:v>0</x:v>
      </x:c>
      <x:c r="J180" s="468" t="n">
        <x:v>48</x:v>
      </x:c>
      <x:c r="K180" s="467" t="str"/>
    </x:row>
    <x:row r="181">
      <x:c r="A181" s="466" t="n">
        <x:v>46219</x:v>
      </x:c>
      <x:c r="B181" s="467" t="str">
        <x:v>D20260177</x:v>
      </x:c>
      <x:c r="C181" s="467" t="str">
        <x:v>C1102</x:v>
      </x:c>
      <x:c r="D181" s="467" t="str">
        <x:v>自然搜索</x:v>
      </x:c>
      <x:c r="E181" s="467" t="str">
        <x:v>无线标签机</x:v>
      </x:c>
      <x:c r="F181" s="468" t="n">
        <x:v>1</x:v>
      </x:c>
      <x:c r="G181" s="468" t="n">
        <x:v>239</x:v>
      </x:c>
      <x:c r="H181" s="469" t="n">
        <x:v>0.05</x:v>
      </x:c>
      <x:c r="I181" s="470" t="n">
        <x:v>0</x:v>
      </x:c>
      <x:c r="J181" s="468" t="n">
        <x:v>118</x:v>
      </x:c>
      <x:c r="K181" s="467" t="str"/>
    </x:row>
    <x:row r="182">
      <x:c r="A182" s="466" t="n">
        <x:v>46220</x:v>
      </x:c>
      <x:c r="B182" s="467" t="str">
        <x:v>D20260178</x:v>
      </x:c>
      <x:c r="C182" s="467" t="str">
        <x:v>C1005</x:v>
      </x:c>
      <x:c r="D182" s="467" t="str">
        <x:v>自然搜索</x:v>
      </x:c>
      <x:c r="E182" s="467" t="str">
        <x:v>轻量旅行杯</x:v>
      </x:c>
      <x:c r="F182" s="468" t="n">
        <x:v>1</x:v>
      </x:c>
      <x:c r="G182" s="468" t="n">
        <x:v>129</x:v>
      </x:c>
      <x:c r="H182" s="469" t="n">
        <x:v>0.05</x:v>
      </x:c>
      <x:c r="I182" s="470" t="n">
        <x:v>0</x:v>
      </x:c>
      <x:c r="J182" s="468" t="n">
        <x:v>48</x:v>
      </x:c>
      <x:c r="K182" s="467" t="str"/>
    </x:row>
    <x:row r="183">
      <x:c r="A183" s="466" t="n">
        <x:v>46220</x:v>
      </x:c>
      <x:c r="B183" s="467" t="str">
        <x:v>D20260179</x:v>
      </x:c>
      <x:c r="C183" s="467" t="str">
        <x:v>C1071</x:v>
      </x:c>
      <x:c r="D183" s="467" t="str">
        <x:v>自然搜索</x:v>
      </x:c>
      <x:c r="E183" s="467" t="str">
        <x:v>桌面收纳架</x:v>
      </x:c>
      <x:c r="F183" s="468" t="n">
        <x:v>1</x:v>
      </x:c>
      <x:c r="G183" s="468" t="n">
        <x:v>89</x:v>
      </x:c>
      <x:c r="H183" s="469" t="n">
        <x:v>0.05</x:v>
      </x:c>
      <x:c r="I183" s="470" t="n">
        <x:v>0</x:v>
      </x:c>
      <x:c r="J183" s="468" t="n">
        <x:v>32</x:v>
      </x:c>
      <x:c r="K183" s="467" t="str"/>
    </x:row>
    <x:row r="184">
      <x:c r="A184" s="466" t="n">
        <x:v>46220</x:v>
      </x:c>
      <x:c r="B184" s="467" t="str">
        <x:v>D20260180</x:v>
      </x:c>
      <x:c r="C184" s="467" t="str">
        <x:v>C1006</x:v>
      </x:c>
      <x:c r="D184" s="467" t="str">
        <x:v>老客复购</x:v>
      </x:c>
      <x:c r="E184" s="467" t="str">
        <x:v>便携补光灯</x:v>
      </x:c>
      <x:c r="F184" s="468" t="n">
        <x:v>1</x:v>
      </x:c>
      <x:c r="G184" s="468" t="n">
        <x:v>159</x:v>
      </x:c>
      <x:c r="H184" s="469" t="n">
        <x:v>0</x:v>
      </x:c>
      <x:c r="I184" s="470" t="n">
        <x:v>0</x:v>
      </x:c>
      <x:c r="J184" s="468" t="n">
        <x:v>72</x:v>
      </x:c>
      <x:c r="K184" s="467" t="str">
        <x:v>会员复购</x:v>
      </x:c>
    </x:row>
    <x:row r="185">
      <x:c r="A185" s="466" t="n">
        <x:v>46220</x:v>
      </x:c>
      <x:c r="B185" s="467" t="str">
        <x:v>D20260181</x:v>
      </x:c>
      <x:c r="C185" s="467" t="str">
        <x:v>C1096</x:v>
      </x:c>
      <x:c r="D185" s="467" t="str">
        <x:v>自然搜索</x:v>
      </x:c>
      <x:c r="E185" s="467" t="str">
        <x:v>轻量旅行杯</x:v>
      </x:c>
      <x:c r="F185" s="468" t="n">
        <x:v>1</x:v>
      </x:c>
      <x:c r="G185" s="468" t="n">
        <x:v>129</x:v>
      </x:c>
      <x:c r="H185" s="469" t="n">
        <x:v>0.2</x:v>
      </x:c>
      <x:c r="I185" s="470" t="n">
        <x:v>0</x:v>
      </x:c>
      <x:c r="J185" s="468" t="n">
        <x:v>48</x:v>
      </x:c>
      <x:c r="K185" s="467" t="str"/>
    </x:row>
    <x:row r="186">
      <x:c r="A186" s="466" t="n">
        <x:v>46220</x:v>
      </x:c>
      <x:c r="B186" s="467" t="str">
        <x:v>D20260182</x:v>
      </x:c>
      <x:c r="C186" s="467" t="str">
        <x:v>C1125</x:v>
      </x:c>
      <x:c r="D186" s="467" t="str">
        <x:v>抖音广告</x:v>
      </x:c>
      <x:c r="E186" s="467" t="str">
        <x:v>便携补光灯</x:v>
      </x:c>
      <x:c r="F186" s="468" t="n">
        <x:v>1</x:v>
      </x:c>
      <x:c r="G186" s="468" t="n">
        <x:v>159</x:v>
      </x:c>
      <x:c r="H186" s="469" t="n">
        <x:v>0.05</x:v>
      </x:c>
      <x:c r="I186" s="470" t="n">
        <x:v>1</x:v>
      </x:c>
      <x:c r="J186" s="468" t="n">
        <x:v>72</x:v>
      </x:c>
      <x:c r="K186" s="467" t="str">
        <x:v>已退款</x:v>
      </x:c>
    </x:row>
    <x:row r="187">
      <x:c r="A187" s="466" t="n">
        <x:v>46220</x:v>
      </x:c>
      <x:c r="B187" s="467" t="str">
        <x:v>D20260183</x:v>
      </x:c>
      <x:c r="C187" s="467" t="str">
        <x:v>C1109</x:v>
      </x:c>
      <x:c r="D187" s="467" t="str">
        <x:v>小红书</x:v>
      </x:c>
      <x:c r="E187" s="467" t="str">
        <x:v>轻量旅行杯</x:v>
      </x:c>
      <x:c r="F187" s="468" t="n">
        <x:v>1</x:v>
      </x:c>
      <x:c r="G187" s="468" t="n">
        <x:v>129</x:v>
      </x:c>
      <x:c r="H187" s="469" t="n">
        <x:v>0</x:v>
      </x:c>
      <x:c r="I187" s="470" t="n">
        <x:v>0</x:v>
      </x:c>
      <x:c r="J187" s="468" t="n">
        <x:v>48</x:v>
      </x:c>
      <x:c r="K187" s="467" t="str"/>
    </x:row>
    <x:row r="188">
      <x:c r="A188" s="466" t="n">
        <x:v>46220</x:v>
      </x:c>
      <x:c r="B188" s="467" t="str">
        <x:v>D20260184</x:v>
      </x:c>
      <x:c r="C188" s="467" t="str">
        <x:v>C1034</x:v>
      </x:c>
      <x:c r="D188" s="467" t="str">
        <x:v>抖音广告</x:v>
      </x:c>
      <x:c r="E188" s="467" t="str">
        <x:v>无线标签机</x:v>
      </x:c>
      <x:c r="F188" s="468" t="n">
        <x:v>1</x:v>
      </x:c>
      <x:c r="G188" s="468" t="n">
        <x:v>239</x:v>
      </x:c>
      <x:c r="H188" s="469" t="n">
        <x:v>0.1</x:v>
      </x:c>
      <x:c r="I188" s="470" t="n">
        <x:v>0</x:v>
      </x:c>
      <x:c r="J188" s="468" t="n">
        <x:v>118</x:v>
      </x:c>
      <x:c r="K188" s="467" t="str">
        <x:v>直播活动</x:v>
      </x:c>
    </x:row>
    <x:row r="189">
      <x:c r="A189" s="466" t="n">
        <x:v>46221</x:v>
      </x:c>
      <x:c r="B189" s="467" t="str">
        <x:v>D20260185</x:v>
      </x:c>
      <x:c r="C189" s="467" t="str">
        <x:v>C1113</x:v>
      </x:c>
      <x:c r="D189" s="467" t="str">
        <x:v>抖音广告</x:v>
      </x:c>
      <x:c r="E189" s="467" t="str">
        <x:v>无线标签机</x:v>
      </x:c>
      <x:c r="F189" s="468" t="n">
        <x:v>1</x:v>
      </x:c>
      <x:c r="G189" s="468" t="n">
        <x:v>239</x:v>
      </x:c>
      <x:c r="H189" s="469" t="n">
        <x:v>0.1</x:v>
      </x:c>
      <x:c r="I189" s="470" t="n">
        <x:v>0</x:v>
      </x:c>
      <x:c r="J189" s="468" t="n">
        <x:v>118</x:v>
      </x:c>
      <x:c r="K189" s="467" t="str">
        <x:v>直播活动</x:v>
      </x:c>
    </x:row>
    <x:row r="190">
      <x:c r="A190" s="466" t="n">
        <x:v>46221</x:v>
      </x:c>
      <x:c r="B190" s="467" t="str">
        <x:v>D20260186</x:v>
      </x:c>
      <x:c r="C190" s="467" t="str">
        <x:v>C1141</x:v>
      </x:c>
      <x:c r="D190" s="467" t="str">
        <x:v>自然搜索</x:v>
      </x:c>
      <x:c r="E190" s="467" t="str">
        <x:v>轻量旅行杯</x:v>
      </x:c>
      <x:c r="F190" s="468" t="n">
        <x:v>1</x:v>
      </x:c>
      <x:c r="G190" s="468" t="n">
        <x:v>129</x:v>
      </x:c>
      <x:c r="H190" s="469" t="n">
        <x:v>0.05</x:v>
      </x:c>
      <x:c r="I190" s="470" t="n">
        <x:v>0</x:v>
      </x:c>
      <x:c r="J190" s="468" t="n">
        <x:v>48</x:v>
      </x:c>
      <x:c r="K190" s="467" t="str"/>
    </x:row>
    <x:row r="191">
      <x:c r="A191" s="466" t="n">
        <x:v>46221</x:v>
      </x:c>
      <x:c r="B191" s="467" t="str">
        <x:v>D20260187</x:v>
      </x:c>
      <x:c r="C191" s="467" t="str">
        <x:v>C1123</x:v>
      </x:c>
      <x:c r="D191" s="467" t="str">
        <x:v>小红书</x:v>
      </x:c>
      <x:c r="E191" s="467" t="str">
        <x:v>桌面收纳架</x:v>
      </x:c>
      <x:c r="F191" s="468" t="n">
        <x:v>2</x:v>
      </x:c>
      <x:c r="G191" s="468" t="n">
        <x:v>89</x:v>
      </x:c>
      <x:c r="H191" s="469" t="n">
        <x:v>0</x:v>
      </x:c>
      <x:c r="I191" s="470" t="n">
        <x:v>0</x:v>
      </x:c>
      <x:c r="J191" s="468" t="n">
        <x:v>32</x:v>
      </x:c>
      <x:c r="K191" s="467" t="str"/>
    </x:row>
    <x:row r="192">
      <x:c r="A192" s="466" t="n">
        <x:v>46221</x:v>
      </x:c>
      <x:c r="B192" s="467" t="str">
        <x:v>D20260188</x:v>
      </x:c>
      <x:c r="C192" s="467" t="str">
        <x:v>C1056</x:v>
      </x:c>
      <x:c r="D192" s="467" t="str">
        <x:v>小红书</x:v>
      </x:c>
      <x:c r="E192" s="467" t="str">
        <x:v>轻量旅行杯</x:v>
      </x:c>
      <x:c r="F192" s="468" t="n">
        <x:v>1</x:v>
      </x:c>
      <x:c r="G192" s="468" t="n">
        <x:v>129</x:v>
      </x:c>
      <x:c r="H192" s="469" t="n">
        <x:v>0.05</x:v>
      </x:c>
      <x:c r="I192" s="470" t="n">
        <x:v>0</x:v>
      </x:c>
      <x:c r="J192" s="468" t="n">
        <x:v>48</x:v>
      </x:c>
      <x:c r="K192" s="467" t="str"/>
    </x:row>
    <x:row r="193">
      <x:c r="A193" s="466" t="n">
        <x:v>46222</x:v>
      </x:c>
      <x:c r="B193" s="467" t="str">
        <x:v>D20260189</x:v>
      </x:c>
      <x:c r="C193" s="467" t="str">
        <x:v>C1120</x:v>
      </x:c>
      <x:c r="D193" s="467" t="str">
        <x:v>小红书</x:v>
      </x:c>
      <x:c r="E193" s="467" t="str">
        <x:v>便携补光灯</x:v>
      </x:c>
      <x:c r="F193" s="468" t="n">
        <x:v>1</x:v>
      </x:c>
      <x:c r="G193" s="468" t="n">
        <x:v>159</x:v>
      </x:c>
      <x:c r="H193" s="469" t="n">
        <x:v>0.1</x:v>
      </x:c>
      <x:c r="I193" s="470" t="n">
        <x:v>1</x:v>
      </x:c>
      <x:c r="J193" s="468" t="n">
        <x:v>72</x:v>
      </x:c>
      <x:c r="K193" s="467" t="str">
        <x:v>已退款</x:v>
      </x:c>
    </x:row>
    <x:row r="194">
      <x:c r="A194" s="466" t="n">
        <x:v>46222</x:v>
      </x:c>
      <x:c r="B194" s="467" t="str">
        <x:v>D20260190</x:v>
      </x:c>
      <x:c r="C194" s="467" t="str">
        <x:v>C1011</x:v>
      </x:c>
      <x:c r="D194" s="467" t="str">
        <x:v>抖音广告</x:v>
      </x:c>
      <x:c r="E194" s="467" t="str">
        <x:v>便携补光灯</x:v>
      </x:c>
      <x:c r="F194" s="468" t="n">
        <x:v>1</x:v>
      </x:c>
      <x:c r="G194" s="468" t="n">
        <x:v>159</x:v>
      </x:c>
      <x:c r="H194" s="469" t="n">
        <x:v>0</x:v>
      </x:c>
      <x:c r="I194" s="470" t="n">
        <x:v>0</x:v>
      </x:c>
      <x:c r="J194" s="468" t="n">
        <x:v>72</x:v>
      </x:c>
      <x:c r="K194" s="467" t="str"/>
    </x:row>
    <x:row r="195">
      <x:c r="A195" s="466" t="n">
        <x:v>46222</x:v>
      </x:c>
      <x:c r="B195" s="467" t="str">
        <x:v>D20260191</x:v>
      </x:c>
      <x:c r="C195" s="467" t="str">
        <x:v>C1014</x:v>
      </x:c>
      <x:c r="D195" s="467" t="str">
        <x:v>抖音广告</x:v>
      </x:c>
      <x:c r="E195" s="467" t="str">
        <x:v>便携补光灯</x:v>
      </x:c>
      <x:c r="F195" s="468" t="n">
        <x:v>1</x:v>
      </x:c>
      <x:c r="G195" s="468" t="n">
        <x:v>159</x:v>
      </x:c>
      <x:c r="H195" s="469" t="n">
        <x:v>0.2</x:v>
      </x:c>
      <x:c r="I195" s="470" t="n">
        <x:v>0</x:v>
      </x:c>
      <x:c r="J195" s="468" t="n">
        <x:v>72</x:v>
      </x:c>
      <x:c r="K195" s="467" t="str">
        <x:v>直播活动</x:v>
      </x:c>
    </x:row>
    <x:row r="196">
      <x:c r="A196" s="466" t="n">
        <x:v>46223</x:v>
      </x:c>
      <x:c r="B196" s="467" t="str">
        <x:v>D20260192</x:v>
      </x:c>
      <x:c r="C196" s="467" t="str">
        <x:v>C1001</x:v>
      </x:c>
      <x:c r="D196" s="467" t="str">
        <x:v>抖音广告</x:v>
      </x:c>
      <x:c r="E196" s="467" t="str">
        <x:v>无线标签机</x:v>
      </x:c>
      <x:c r="F196" s="468" t="n">
        <x:v>1</x:v>
      </x:c>
      <x:c r="G196" s="468" t="n">
        <x:v>239</x:v>
      </x:c>
      <x:c r="H196" s="469" t="n">
        <x:v>0</x:v>
      </x:c>
      <x:c r="I196" s="470" t="n">
        <x:v>0</x:v>
      </x:c>
      <x:c r="J196" s="468" t="n">
        <x:v>118</x:v>
      </x:c>
      <x:c r="K196" s="467" t="str"/>
    </x:row>
    <x:row r="197">
      <x:c r="A197" s="466" t="n">
        <x:v>46223</x:v>
      </x:c>
      <x:c r="B197" s="467" t="str">
        <x:v>D20260193</x:v>
      </x:c>
      <x:c r="C197" s="467" t="str">
        <x:v>C1020</x:v>
      </x:c>
      <x:c r="D197" s="467" t="str">
        <x:v>小红书</x:v>
      </x:c>
      <x:c r="E197" s="467" t="str">
        <x:v>便携补光灯</x:v>
      </x:c>
      <x:c r="F197" s="468" t="n">
        <x:v>1</x:v>
      </x:c>
      <x:c r="G197" s="468" t="n">
        <x:v>159</x:v>
      </x:c>
      <x:c r="H197" s="469" t="n">
        <x:v>0</x:v>
      </x:c>
      <x:c r="I197" s="470" t="n">
        <x:v>0</x:v>
      </x:c>
      <x:c r="J197" s="468" t="n">
        <x:v>72</x:v>
      </x:c>
      <x:c r="K197" s="467" t="str"/>
    </x:row>
    <x:row r="198">
      <x:c r="A198" s="466" t="n">
        <x:v>46224</x:v>
      </x:c>
      <x:c r="B198" s="467" t="str">
        <x:v>D20260194</x:v>
      </x:c>
      <x:c r="C198" s="467" t="str">
        <x:v>C1134</x:v>
      </x:c>
      <x:c r="D198" s="467" t="str">
        <x:v>小红书</x:v>
      </x:c>
      <x:c r="E198" s="467" t="str">
        <x:v>轻量旅行杯</x:v>
      </x:c>
      <x:c r="F198" s="468" t="n">
        <x:v>1</x:v>
      </x:c>
      <x:c r="G198" s="468" t="n">
        <x:v>129</x:v>
      </x:c>
      <x:c r="H198" s="469" t="n">
        <x:v>0.2</x:v>
      </x:c>
      <x:c r="I198" s="470" t="n">
        <x:v>0</x:v>
      </x:c>
      <x:c r="J198" s="468" t="n">
        <x:v>48</x:v>
      </x:c>
      <x:c r="K198" s="467" t="str"/>
    </x:row>
    <x:row r="199">
      <x:c r="A199" s="466" t="n">
        <x:v>46224</x:v>
      </x:c>
      <x:c r="B199" s="467" t="str">
        <x:v>D20260195</x:v>
      </x:c>
      <x:c r="C199" s="467" t="str">
        <x:v>C1015</x:v>
      </x:c>
      <x:c r="D199" s="467" t="str">
        <x:v>自然搜索</x:v>
      </x:c>
      <x:c r="E199" s="467" t="str">
        <x:v>无线标签机</x:v>
      </x:c>
      <x:c r="F199" s="468" t="n">
        <x:v>1</x:v>
      </x:c>
      <x:c r="G199" s="468" t="n">
        <x:v>239</x:v>
      </x:c>
      <x:c r="H199" s="469" t="n">
        <x:v>0</x:v>
      </x:c>
      <x:c r="I199" s="470" t="n">
        <x:v>0</x:v>
      </x:c>
      <x:c r="J199" s="468" t="n">
        <x:v>118</x:v>
      </x:c>
      <x:c r="K199" s="467" t="str"/>
    </x:row>
    <x:row r="200">
      <x:c r="A200" s="466" t="n">
        <x:v>46224</x:v>
      </x:c>
      <x:c r="B200" s="467" t="str">
        <x:v>D20260196</x:v>
      </x:c>
      <x:c r="C200" s="467" t="str">
        <x:v>C1007</x:v>
      </x:c>
      <x:c r="D200" s="467" t="str">
        <x:v>自然搜索</x:v>
      </x:c>
      <x:c r="E200" s="467" t="str">
        <x:v>便携补光灯</x:v>
      </x:c>
      <x:c r="F200" s="468" t="n">
        <x:v>1</x:v>
      </x:c>
      <x:c r="G200" s="468" t="n">
        <x:v>159</x:v>
      </x:c>
      <x:c r="H200" s="469" t="n">
        <x:v>0.05</x:v>
      </x:c>
      <x:c r="I200" s="470" t="n">
        <x:v>0</x:v>
      </x:c>
      <x:c r="J200" s="468" t="n">
        <x:v>72</x:v>
      </x:c>
      <x:c r="K200" s="467" t="str"/>
    </x:row>
    <x:row r="201">
      <x:c r="A201" s="466" t="n">
        <x:v>46225</x:v>
      </x:c>
      <x:c r="B201" s="467" t="str">
        <x:v>D20260197</x:v>
      </x:c>
      <x:c r="C201" s="467" t="str">
        <x:v>C1003</x:v>
      </x:c>
      <x:c r="D201" s="467" t="str">
        <x:v>小红书</x:v>
      </x:c>
      <x:c r="E201" s="467" t="str">
        <x:v>便携补光灯</x:v>
      </x:c>
      <x:c r="F201" s="468" t="n">
        <x:v>1</x:v>
      </x:c>
      <x:c r="G201" s="468" t="n">
        <x:v>159</x:v>
      </x:c>
      <x:c r="H201" s="469" t="n">
        <x:v>0.05</x:v>
      </x:c>
      <x:c r="I201" s="470" t="n">
        <x:v>0</x:v>
      </x:c>
      <x:c r="J201" s="468" t="n">
        <x:v>72</x:v>
      </x:c>
      <x:c r="K201" s="467" t="str"/>
    </x:row>
    <x:row r="202">
      <x:c r="A202" s="466" t="n">
        <x:v>46225</x:v>
      </x:c>
      <x:c r="B202" s="467" t="str">
        <x:v>D20260198</x:v>
      </x:c>
      <x:c r="C202" s="467" t="str">
        <x:v>C1139</x:v>
      </x:c>
      <x:c r="D202" s="467" t="str">
        <x:v>抖音广告</x:v>
      </x:c>
      <x:c r="E202" s="467" t="str">
        <x:v>轻量旅行杯</x:v>
      </x:c>
      <x:c r="F202" s="468" t="n">
        <x:v>1</x:v>
      </x:c>
      <x:c r="G202" s="468" t="n">
        <x:v>129</x:v>
      </x:c>
      <x:c r="H202" s="469" t="n">
        <x:v>0.1</x:v>
      </x:c>
      <x:c r="I202" s="470" t="n">
        <x:v>0</x:v>
      </x:c>
      <x:c r="J202" s="468" t="n">
        <x:v>48</x:v>
      </x:c>
      <x:c r="K202" s="467" t="str">
        <x:v>直播活动</x:v>
      </x:c>
    </x:row>
    <x:row r="203">
      <x:c r="A203" s="466" t="n">
        <x:v>46225</x:v>
      </x:c>
      <x:c r="B203" s="467" t="str">
        <x:v>D20260199</x:v>
      </x:c>
      <x:c r="C203" s="467" t="str">
        <x:v>C1010</x:v>
      </x:c>
      <x:c r="D203" s="467" t="str">
        <x:v>抖音广告</x:v>
      </x:c>
      <x:c r="E203" s="467" t="str">
        <x:v>桌面收纳架</x:v>
      </x:c>
      <x:c r="F203" s="468" t="n">
        <x:v>1</x:v>
      </x:c>
      <x:c r="G203" s="468" t="n">
        <x:v>89</x:v>
      </x:c>
      <x:c r="H203" s="469" t="n">
        <x:v>0.05</x:v>
      </x:c>
      <x:c r="I203" s="470" t="n">
        <x:v>0</x:v>
      </x:c>
      <x:c r="J203" s="468" t="n">
        <x:v>32</x:v>
      </x:c>
      <x:c r="K203" s="467" t="str"/>
    </x:row>
    <x:row r="204">
      <x:c r="A204" s="466" t="n">
        <x:v>46226</x:v>
      </x:c>
      <x:c r="B204" s="467" t="str">
        <x:v>D20260200</x:v>
      </x:c>
      <x:c r="C204" s="467" t="str">
        <x:v>C1005</x:v>
      </x:c>
      <x:c r="D204" s="467" t="str">
        <x:v>抖音广告</x:v>
      </x:c>
      <x:c r="E204" s="467" t="str">
        <x:v>轻量旅行杯</x:v>
      </x:c>
      <x:c r="F204" s="468" t="n">
        <x:v>1</x:v>
      </x:c>
      <x:c r="G204" s="468" t="n">
        <x:v>129</x:v>
      </x:c>
      <x:c r="H204" s="469" t="n">
        <x:v>0</x:v>
      </x:c>
      <x:c r="I204" s="470" t="n">
        <x:v>0</x:v>
      </x:c>
      <x:c r="J204" s="468" t="n">
        <x:v>48</x:v>
      </x:c>
      <x:c r="K204" s="467" t="str"/>
    </x:row>
    <x:row r="205">
      <x:c r="A205" s="466" t="n">
        <x:v>46226</x:v>
      </x:c>
      <x:c r="B205" s="467" t="str">
        <x:v>D20260201</x:v>
      </x:c>
      <x:c r="C205" s="467" t="str">
        <x:v>C1001</x:v>
      </x:c>
      <x:c r="D205" s="467" t="str">
        <x:v>小红书</x:v>
      </x:c>
      <x:c r="E205" s="467" t="str">
        <x:v>便携补光灯</x:v>
      </x:c>
      <x:c r="F205" s="468" t="n">
        <x:v>1</x:v>
      </x:c>
      <x:c r="G205" s="468" t="n">
        <x:v>159</x:v>
      </x:c>
      <x:c r="H205" s="469" t="n">
        <x:v>0.1</x:v>
      </x:c>
      <x:c r="I205" s="470" t="n">
        <x:v>0</x:v>
      </x:c>
      <x:c r="J205" s="468" t="n">
        <x:v>72</x:v>
      </x:c>
      <x:c r="K205" s="467" t="str"/>
    </x:row>
    <x:row r="206">
      <x:c r="A206" s="466" t="n">
        <x:v>46226</x:v>
      </x:c>
      <x:c r="B206" s="467" t="str">
        <x:v>D20260202</x:v>
      </x:c>
      <x:c r="C206" s="467" t="str">
        <x:v>C1073</x:v>
      </x:c>
      <x:c r="D206" s="467" t="str">
        <x:v>抖音广告</x:v>
      </x:c>
      <x:c r="E206" s="467" t="str">
        <x:v>轻量旅行杯</x:v>
      </x:c>
      <x:c r="F206" s="468" t="n">
        <x:v>1</x:v>
      </x:c>
      <x:c r="G206" s="468" t="n">
        <x:v>129</x:v>
      </x:c>
      <x:c r="H206" s="469" t="n">
        <x:v>0.05</x:v>
      </x:c>
      <x:c r="I206" s="470" t="n">
        <x:v>0</x:v>
      </x:c>
      <x:c r="J206" s="468" t="n">
        <x:v>48</x:v>
      </x:c>
      <x:c r="K206" s="467" t="str"/>
    </x:row>
    <x:row r="207">
      <x:c r="A207" s="466" t="n">
        <x:v>46227</x:v>
      </x:c>
      <x:c r="B207" s="467" t="str">
        <x:v>D20260203</x:v>
      </x:c>
      <x:c r="C207" s="467" t="str">
        <x:v>C1089</x:v>
      </x:c>
      <x:c r="D207" s="467" t="str">
        <x:v>抖音广告</x:v>
      </x:c>
      <x:c r="E207" s="467" t="str">
        <x:v>便携补光灯</x:v>
      </x:c>
      <x:c r="F207" s="468" t="n">
        <x:v>1</x:v>
      </x:c>
      <x:c r="G207" s="468" t="n">
        <x:v>159</x:v>
      </x:c>
      <x:c r="H207" s="469" t="n">
        <x:v>0</x:v>
      </x:c>
      <x:c r="I207" s="470" t="n">
        <x:v>0</x:v>
      </x:c>
      <x:c r="J207" s="468" t="n">
        <x:v>72</x:v>
      </x:c>
      <x:c r="K207" s="467" t="str"/>
    </x:row>
    <x:row r="208">
      <x:c r="A208" s="466" t="n">
        <x:v>46227</x:v>
      </x:c>
      <x:c r="B208" s="467" t="str">
        <x:v>D20260204</x:v>
      </x:c>
      <x:c r="C208" s="467" t="str">
        <x:v>C1103</x:v>
      </x:c>
      <x:c r="D208" s="467" t="str">
        <x:v>小红书</x:v>
      </x:c>
      <x:c r="E208" s="467" t="str">
        <x:v>桌面收纳架</x:v>
      </x:c>
      <x:c r="F208" s="468" t="n">
        <x:v>1</x:v>
      </x:c>
      <x:c r="G208" s="468" t="n">
        <x:v>89</x:v>
      </x:c>
      <x:c r="H208" s="469" t="n">
        <x:v>0.05</x:v>
      </x:c>
      <x:c r="I208" s="470" t="n">
        <x:v>0</x:v>
      </x:c>
      <x:c r="J208" s="468" t="n">
        <x:v>32</x:v>
      </x:c>
      <x:c r="K208" s="467" t="str"/>
    </x:row>
    <x:row r="209">
      <x:c r="A209" s="466" t="n">
        <x:v>46227</x:v>
      </x:c>
      <x:c r="B209" s="467" t="str">
        <x:v>D20260205</x:v>
      </x:c>
      <x:c r="C209" s="467" t="str">
        <x:v>C1090</x:v>
      </x:c>
      <x:c r="D209" s="467" t="str">
        <x:v>抖音广告</x:v>
      </x:c>
      <x:c r="E209" s="467" t="str">
        <x:v>无线标签机</x:v>
      </x:c>
      <x:c r="F209" s="468" t="n">
        <x:v>1</x:v>
      </x:c>
      <x:c r="G209" s="468" t="n">
        <x:v>239</x:v>
      </x:c>
      <x:c r="H209" s="469" t="n">
        <x:v>0</x:v>
      </x:c>
      <x:c r="I209" s="470" t="n">
        <x:v>0</x:v>
      </x:c>
      <x:c r="J209" s="468" t="n">
        <x:v>118</x:v>
      </x:c>
      <x:c r="K209" s="467" t="str"/>
    </x:row>
    <x:row r="210">
      <x:c r="A210" s="466" t="n">
        <x:v>46228</x:v>
      </x:c>
      <x:c r="B210" s="467" t="str">
        <x:v>D20260206</x:v>
      </x:c>
      <x:c r="C210" s="467" t="str">
        <x:v>C1021</x:v>
      </x:c>
      <x:c r="D210" s="467" t="str">
        <x:v>自然搜索</x:v>
      </x:c>
      <x:c r="E210" s="467" t="str">
        <x:v>轻量旅行杯</x:v>
      </x:c>
      <x:c r="F210" s="468" t="n">
        <x:v>2</x:v>
      </x:c>
      <x:c r="G210" s="468" t="n">
        <x:v>129</x:v>
      </x:c>
      <x:c r="H210" s="469" t="n">
        <x:v>0.1</x:v>
      </x:c>
      <x:c r="I210" s="470" t="n">
        <x:v>0</x:v>
      </x:c>
      <x:c r="J210" s="468" t="n">
        <x:v>48</x:v>
      </x:c>
      <x:c r="K210" s="467" t="str"/>
    </x:row>
    <x:row r="211">
      <x:c r="A211" s="466" t="n">
        <x:v>46228</x:v>
      </x:c>
      <x:c r="B211" s="467" t="str">
        <x:v>D20260207</x:v>
      </x:c>
      <x:c r="C211" s="467" t="str">
        <x:v>C1018</x:v>
      </x:c>
      <x:c r="D211" s="467" t="str">
        <x:v>抖音广告</x:v>
      </x:c>
      <x:c r="E211" s="467" t="str">
        <x:v>轻量旅行杯</x:v>
      </x:c>
      <x:c r="F211" s="468" t="n">
        <x:v>1</x:v>
      </x:c>
      <x:c r="G211" s="468" t="n">
        <x:v>129</x:v>
      </x:c>
      <x:c r="H211" s="469" t="n">
        <x:v>0</x:v>
      </x:c>
      <x:c r="I211" s="470" t="n">
        <x:v>0</x:v>
      </x:c>
      <x:c r="J211" s="468" t="n">
        <x:v>48</x:v>
      </x:c>
      <x:c r="K211" s="467" t="str"/>
    </x:row>
    <x:row r="212">
      <x:c r="A212" s="466" t="n">
        <x:v>46230</x:v>
      </x:c>
      <x:c r="B212" s="467" t="str">
        <x:v>D20260208</x:v>
      </x:c>
      <x:c r="C212" s="467" t="str">
        <x:v>C1039</x:v>
      </x:c>
      <x:c r="D212" s="467" t="str">
        <x:v>抖音广告</x:v>
      </x:c>
      <x:c r="E212" s="467" t="str">
        <x:v>便携补光灯</x:v>
      </x:c>
      <x:c r="F212" s="468" t="n">
        <x:v>2</x:v>
      </x:c>
      <x:c r="G212" s="468" t="n">
        <x:v>159</x:v>
      </x:c>
      <x:c r="H212" s="469" t="n">
        <x:v>0.05</x:v>
      </x:c>
      <x:c r="I212" s="470" t="n">
        <x:v>0</x:v>
      </x:c>
      <x:c r="J212" s="468" t="n">
        <x:v>72</x:v>
      </x:c>
      <x:c r="K212" s="467" t="str"/>
    </x:row>
    <x:row r="213">
      <x:c r="A213" s="466" t="n">
        <x:v>46230</x:v>
      </x:c>
      <x:c r="B213" s="467" t="str">
        <x:v>D20260209</x:v>
      </x:c>
      <x:c r="C213" s="467" t="str">
        <x:v>C1042</x:v>
      </x:c>
      <x:c r="D213" s="467" t="str">
        <x:v>老客复购</x:v>
      </x:c>
      <x:c r="E213" s="467" t="str">
        <x:v>便携补光灯</x:v>
      </x:c>
      <x:c r="F213" s="468" t="n">
        <x:v>1</x:v>
      </x:c>
      <x:c r="G213" s="468" t="n">
        <x:v>159</x:v>
      </x:c>
      <x:c r="H213" s="469" t="n">
        <x:v>0.05</x:v>
      </x:c>
      <x:c r="I213" s="470" t="n">
        <x:v>0</x:v>
      </x:c>
      <x:c r="J213" s="468" t="n">
        <x:v>72</x:v>
      </x:c>
      <x:c r="K213" s="467" t="str">
        <x:v>会员复购</x:v>
      </x:c>
    </x:row>
    <x:row r="214">
      <x:c r="A214" s="466" t="n">
        <x:v>46230</x:v>
      </x:c>
      <x:c r="B214" s="467" t="str">
        <x:v>D20260210</x:v>
      </x:c>
      <x:c r="C214" s="467" t="str">
        <x:v>C1038</x:v>
      </x:c>
      <x:c r="D214" s="467" t="str">
        <x:v>小红书</x:v>
      </x:c>
      <x:c r="E214" s="467" t="str">
        <x:v>便携补光灯</x:v>
      </x:c>
      <x:c r="F214" s="468" t="n">
        <x:v>1</x:v>
      </x:c>
      <x:c r="G214" s="468" t="n">
        <x:v>159</x:v>
      </x:c>
      <x:c r="H214" s="469" t="n">
        <x:v>0</x:v>
      </x:c>
      <x:c r="I214" s="470" t="n">
        <x:v>0</x:v>
      </x:c>
      <x:c r="J214" s="468" t="n">
        <x:v>72</x:v>
      </x:c>
      <x:c r="K214" s="467" t="str"/>
    </x:row>
    <x:row r="215">
      <x:c r="A215" s="466" t="n">
        <x:v>46230</x:v>
      </x:c>
      <x:c r="B215" s="467" t="str">
        <x:v>D20260211</x:v>
      </x:c>
      <x:c r="C215" s="467" t="str">
        <x:v>C1121</x:v>
      </x:c>
      <x:c r="D215" s="467" t="str">
        <x:v>小红书</x:v>
      </x:c>
      <x:c r="E215" s="467" t="str">
        <x:v>桌面收纳架</x:v>
      </x:c>
      <x:c r="F215" s="468" t="n">
        <x:v>1</x:v>
      </x:c>
      <x:c r="G215" s="468" t="n">
        <x:v>89</x:v>
      </x:c>
      <x:c r="H215" s="469" t="n">
        <x:v>0.05</x:v>
      </x:c>
      <x:c r="I215" s="470" t="n">
        <x:v>0</x:v>
      </x:c>
      <x:c r="J215" s="468" t="n">
        <x:v>32</x:v>
      </x:c>
      <x:c r="K215" s="467" t="str"/>
    </x:row>
    <x:row r="216">
      <x:c r="A216" s="466" t="n">
        <x:v>46230</x:v>
      </x:c>
      <x:c r="B216" s="467" t="str">
        <x:v>D20260212</x:v>
      </x:c>
      <x:c r="C216" s="467" t="str">
        <x:v>C1083</x:v>
      </x:c>
      <x:c r="D216" s="467" t="str">
        <x:v>自然搜索</x:v>
      </x:c>
      <x:c r="E216" s="467" t="str">
        <x:v>轻量旅行杯</x:v>
      </x:c>
      <x:c r="F216" s="468" t="n">
        <x:v>1</x:v>
      </x:c>
      <x:c r="G216" s="468" t="n">
        <x:v>129</x:v>
      </x:c>
      <x:c r="H216" s="469" t="n">
        <x:v>0.1</x:v>
      </x:c>
      <x:c r="I216" s="470" t="n">
        <x:v>0</x:v>
      </x:c>
      <x:c r="J216" s="468" t="n">
        <x:v>48</x:v>
      </x:c>
      <x:c r="K216" s="467" t="str"/>
    </x:row>
    <x:row r="217">
      <x:c r="A217" s="466" t="n">
        <x:v>46230</x:v>
      </x:c>
      <x:c r="B217" s="467" t="str">
        <x:v>D20260213</x:v>
      </x:c>
      <x:c r="C217" s="467" t="str">
        <x:v>C1143</x:v>
      </x:c>
      <x:c r="D217" s="467" t="str">
        <x:v>自然搜索</x:v>
      </x:c>
      <x:c r="E217" s="467" t="str">
        <x:v>轻量旅行杯</x:v>
      </x:c>
      <x:c r="F217" s="468" t="n">
        <x:v>1</x:v>
      </x:c>
      <x:c r="G217" s="468" t="n">
        <x:v>129</x:v>
      </x:c>
      <x:c r="H217" s="469" t="n">
        <x:v>0.2</x:v>
      </x:c>
      <x:c r="I217" s="470" t="n">
        <x:v>0</x:v>
      </x:c>
      <x:c r="J217" s="468" t="n">
        <x:v>48</x:v>
      </x:c>
      <x:c r="K217" s="467" t="str"/>
    </x:row>
    <x:row r="218">
      <x:c r="A218" s="466" t="n">
        <x:v>46231</x:v>
      </x:c>
      <x:c r="B218" s="467" t="str">
        <x:v>D20260214</x:v>
      </x:c>
      <x:c r="C218" s="467" t="str">
        <x:v>C1145</x:v>
      </x:c>
      <x:c r="D218" s="467" t="str">
        <x:v>小红书</x:v>
      </x:c>
      <x:c r="E218" s="467" t="str">
        <x:v>无线标签机</x:v>
      </x:c>
      <x:c r="F218" s="468" t="n">
        <x:v>2</x:v>
      </x:c>
      <x:c r="G218" s="468" t="n">
        <x:v>239</x:v>
      </x:c>
      <x:c r="H218" s="469" t="n">
        <x:v>0.2</x:v>
      </x:c>
      <x:c r="I218" s="470" t="n">
        <x:v>0</x:v>
      </x:c>
      <x:c r="J218" s="468" t="n">
        <x:v>118</x:v>
      </x:c>
      <x:c r="K218" s="467" t="str"/>
    </x:row>
    <x:row r="219">
      <x:c r="A219" s="466" t="n">
        <x:v>46231</x:v>
      </x:c>
      <x:c r="B219" s="467" t="str">
        <x:v>D20260215</x:v>
      </x:c>
      <x:c r="C219" s="467" t="str">
        <x:v>C1059</x:v>
      </x:c>
      <x:c r="D219" s="467" t="str">
        <x:v>自然搜索</x:v>
      </x:c>
      <x:c r="E219" s="467" t="str">
        <x:v>便携补光灯</x:v>
      </x:c>
      <x:c r="F219" s="468" t="n">
        <x:v>1</x:v>
      </x:c>
      <x:c r="G219" s="468" t="n">
        <x:v>159</x:v>
      </x:c>
      <x:c r="H219" s="469" t="n">
        <x:v>0.2</x:v>
      </x:c>
      <x:c r="I219" s="470" t="n">
        <x:v>0</x:v>
      </x:c>
      <x:c r="J219" s="468" t="n">
        <x:v>72</x:v>
      </x:c>
      <x:c r="K219" s="467" t="str"/>
    </x:row>
    <x:row r="220">
      <x:c r="A220" s="466" t="n">
        <x:v>46231</x:v>
      </x:c>
      <x:c r="B220" s="467" t="str">
        <x:v>D20260216</x:v>
      </x:c>
      <x:c r="C220" s="467" t="str">
        <x:v>C1132</x:v>
      </x:c>
      <x:c r="D220" s="467" t="str">
        <x:v>抖音广告</x:v>
      </x:c>
      <x:c r="E220" s="467" t="str">
        <x:v>便携补光灯</x:v>
      </x:c>
      <x:c r="F220" s="468" t="n">
        <x:v>1</x:v>
      </x:c>
      <x:c r="G220" s="468" t="n">
        <x:v>159</x:v>
      </x:c>
      <x:c r="H220" s="469" t="n">
        <x:v>0.2</x:v>
      </x:c>
      <x:c r="I220" s="470" t="n">
        <x:v>0</x:v>
      </x:c>
      <x:c r="J220" s="468" t="n">
        <x:v>72</x:v>
      </x:c>
      <x:c r="K220" s="467" t="str">
        <x:v>直播活动</x:v>
      </x:c>
    </x:row>
    <x:row r="221">
      <x:c r="A221" s="466" t="n">
        <x:v>46231</x:v>
      </x:c>
      <x:c r="B221" s="467" t="str">
        <x:v>D20260217</x:v>
      </x:c>
      <x:c r="C221" s="467" t="str">
        <x:v>C1031</x:v>
      </x:c>
      <x:c r="D221" s="467" t="str">
        <x:v>抖音广告</x:v>
      </x:c>
      <x:c r="E221" s="467" t="str">
        <x:v>无线标签机</x:v>
      </x:c>
      <x:c r="F221" s="468" t="n">
        <x:v>1</x:v>
      </x:c>
      <x:c r="G221" s="468" t="n">
        <x:v>239</x:v>
      </x:c>
      <x:c r="H221" s="469" t="n">
        <x:v>0.05</x:v>
      </x:c>
      <x:c r="I221" s="470" t="n">
        <x:v>0</x:v>
      </x:c>
      <x:c r="J221" s="468" t="n">
        <x:v>118</x:v>
      </x:c>
      <x:c r="K221" s="467" t="str"/>
    </x:row>
    <x:row r="222">
      <x:c r="A222" s="466" t="n">
        <x:v>46232</x:v>
      </x:c>
      <x:c r="B222" s="467" t="str">
        <x:v>D20260218</x:v>
      </x:c>
      <x:c r="C222" s="467" t="str">
        <x:v>C1054</x:v>
      </x:c>
      <x:c r="D222" s="467" t="str">
        <x:v>小红书</x:v>
      </x:c>
      <x:c r="E222" s="467" t="str">
        <x:v>轻量旅行杯</x:v>
      </x:c>
      <x:c r="F222" s="468" t="n">
        <x:v>1</x:v>
      </x:c>
      <x:c r="G222" s="468" t="n">
        <x:v>129</x:v>
      </x:c>
      <x:c r="H222" s="469" t="n">
        <x:v>0.1</x:v>
      </x:c>
      <x:c r="I222" s="470" t="n">
        <x:v>0</x:v>
      </x:c>
      <x:c r="J222" s="468" t="n">
        <x:v>48</x:v>
      </x:c>
      <x:c r="K222" s="467" t="str"/>
    </x:row>
    <x:row r="223">
      <x:c r="A223" s="466" t="n">
        <x:v>46232</x:v>
      </x:c>
      <x:c r="B223" s="467" t="str">
        <x:v>D20260219</x:v>
      </x:c>
      <x:c r="C223" s="467" t="str">
        <x:v>C1003</x:v>
      </x:c>
      <x:c r="D223" s="467" t="str">
        <x:v>抖音广告</x:v>
      </x:c>
      <x:c r="E223" s="467" t="str">
        <x:v>无线标签机</x:v>
      </x:c>
      <x:c r="F223" s="468" t="n">
        <x:v>1</x:v>
      </x:c>
      <x:c r="G223" s="468" t="n">
        <x:v>239</x:v>
      </x:c>
      <x:c r="H223" s="469" t="n">
        <x:v>0.1</x:v>
      </x:c>
      <x:c r="I223" s="470" t="n">
        <x:v>0</x:v>
      </x:c>
      <x:c r="J223" s="468" t="n">
        <x:v>118</x:v>
      </x:c>
      <x:c r="K223" s="467" t="str">
        <x:v>直播活动</x:v>
      </x:c>
    </x:row>
    <x:row r="224">
      <x:c r="A224" s="466" t="n">
        <x:v>46233</x:v>
      </x:c>
      <x:c r="B224" s="467" t="str">
        <x:v>D20260220</x:v>
      </x:c>
      <x:c r="C224" s="467" t="str">
        <x:v>C1005</x:v>
      </x:c>
      <x:c r="D224" s="467" t="str">
        <x:v>老客复购</x:v>
      </x:c>
      <x:c r="E224" s="467" t="str">
        <x:v>轻量旅行杯</x:v>
      </x:c>
      <x:c r="F224" s="468" t="n">
        <x:v>1</x:v>
      </x:c>
      <x:c r="G224" s="468" t="n">
        <x:v>129</x:v>
      </x:c>
      <x:c r="H224" s="469" t="n">
        <x:v>0.05</x:v>
      </x:c>
      <x:c r="I224" s="470" t="n">
        <x:v>0</x:v>
      </x:c>
      <x:c r="J224" s="468" t="n">
        <x:v>48</x:v>
      </x:c>
      <x:c r="K224" s="467" t="str">
        <x:v>会员复购</x:v>
      </x:c>
    </x:row>
    <x:row r="225">
      <x:c r="A225" s="466" t="n">
        <x:v>46234</x:v>
      </x:c>
      <x:c r="B225" s="467" t="str">
        <x:v>D20260221</x:v>
      </x:c>
      <x:c r="C225" s="467" t="str">
        <x:v>C1097</x:v>
      </x:c>
      <x:c r="D225" s="467" t="str">
        <x:v>自然搜索</x:v>
      </x:c>
      <x:c r="E225" s="467" t="str">
        <x:v>桌面收纳架</x:v>
      </x:c>
      <x:c r="F225" s="468" t="n">
        <x:v>2</x:v>
      </x:c>
      <x:c r="G225" s="468" t="n">
        <x:v>89</x:v>
      </x:c>
      <x:c r="H225" s="469" t="n">
        <x:v>0</x:v>
      </x:c>
      <x:c r="I225" s="470" t="n">
        <x:v>0</x:v>
      </x:c>
      <x:c r="J225" s="468" t="n">
        <x:v>32</x:v>
      </x:c>
      <x:c r="K225" s="467" t="str"/>
    </x:row>
    <x:row r="226">
      <x:c r="A226" s="466" t="n">
        <x:v>46234</x:v>
      </x:c>
      <x:c r="B226" s="467" t="str">
        <x:v>D20260222</x:v>
      </x:c>
      <x:c r="C226" s="467" t="str">
        <x:v>C1094</x:v>
      </x:c>
      <x:c r="D226" s="467" t="str">
        <x:v>自然搜索</x:v>
      </x:c>
      <x:c r="E226" s="467" t="str">
        <x:v>无线标签机</x:v>
      </x:c>
      <x:c r="F226" s="468" t="n">
        <x:v>1</x:v>
      </x:c>
      <x:c r="G226" s="468" t="n">
        <x:v>239</x:v>
      </x:c>
      <x:c r="H226" s="469" t="n">
        <x:v>0</x:v>
      </x:c>
      <x:c r="I226" s="470" t="n">
        <x:v>0</x:v>
      </x:c>
      <x:c r="J226" s="468" t="n">
        <x:v>118</x:v>
      </x:c>
      <x:c r="K226" s="467" t="str"/>
    </x:row>
    <x:row r="227">
      <x:c r="A227" s="466" t="n">
        <x:v>46234</x:v>
      </x:c>
      <x:c r="B227" s="467" t="str">
        <x:v>D20260223</x:v>
      </x:c>
      <x:c r="C227" s="467" t="str">
        <x:v>C1051</x:v>
      </x:c>
      <x:c r="D227" s="467" t="str">
        <x:v>抖音广告</x:v>
      </x:c>
      <x:c r="E227" s="467" t="str">
        <x:v>便携补光灯</x:v>
      </x:c>
      <x:c r="F227" s="468" t="n">
        <x:v>1</x:v>
      </x:c>
      <x:c r="G227" s="468" t="n">
        <x:v>159</x:v>
      </x:c>
      <x:c r="H227" s="469" t="n">
        <x:v>0.05</x:v>
      </x:c>
      <x:c r="I227" s="470" t="n">
        <x:v>0</x:v>
      </x:c>
      <x:c r="J227" s="468" t="n">
        <x:v>72</x:v>
      </x:c>
      <x:c r="K227" s="467" t="str"/>
    </x:row>
    <x:row r="228">
      <x:c r="A228" s="466" t="n">
        <x:v>46234</x:v>
      </x:c>
      <x:c r="B228" s="467" t="str">
        <x:v>D20260224</x:v>
      </x:c>
      <x:c r="C228" s="467" t="str">
        <x:v>C1116</x:v>
      </x:c>
      <x:c r="D228" s="467" t="str">
        <x:v>小红书</x:v>
      </x:c>
      <x:c r="E228" s="467" t="str">
        <x:v>桌面收纳架</x:v>
      </x:c>
      <x:c r="F228" s="468" t="n">
        <x:v>2</x:v>
      </x:c>
      <x:c r="G228" s="468" t="n">
        <x:v>89</x:v>
      </x:c>
      <x:c r="H228" s="469" t="n">
        <x:v>0.05</x:v>
      </x:c>
      <x:c r="I228" s="470" t="n">
        <x:v>0</x:v>
      </x:c>
      <x:c r="J228" s="468" t="n">
        <x:v>32</x:v>
      </x:c>
      <x:c r="K228" s="467" t="str"/>
    </x:row>
    <x:row r="229">
      <x:c r="A229" s="471" t="n">
        <x:v>46234</x:v>
      </x:c>
      <x:c r="B229" s="472" t="str">
        <x:v>D20260225</x:v>
      </x:c>
      <x:c r="C229" s="472" t="str">
        <x:v>C1154</x:v>
      </x:c>
      <x:c r="D229" s="472" t="str">
        <x:v>抖音广告</x:v>
      </x:c>
      <x:c r="E229" s="472" t="str">
        <x:v>轻量旅行杯</x:v>
      </x:c>
      <x:c r="F229" s="473" t="n">
        <x:v>1</x:v>
      </x:c>
      <x:c r="G229" s="473" t="n">
        <x:v>129</x:v>
      </x:c>
      <x:c r="H229" s="474" t="n">
        <x:v>0.05</x:v>
      </x:c>
      <x:c r="I229" s="475" t="n">
        <x:v>0</x:v>
      </x:c>
      <x:c r="J229" s="473" t="n">
        <x:v>48</x:v>
      </x:c>
      <x:c r="K229" s="472" t="str"/>
    </x:row>
  </x:sheetData>
  <x:mergeCells>
    <x:mergeCell ref="A1:K1"/>
    <x:mergeCell ref="A2:K2"/>
  </x:mergeCells>
  <x:conditionalFormatting sqref="A5:K229">
    <x:cfRule type="expression" dxfId="0" priority="1">
      <x:formula>$I5=1</x:formula>
    </x:cfRule>
  </x:conditionalFormatting>
  <x:dataValidations count="2">
    <x:dataValidation type="list" sqref="I5:I229">
      <x:formula1>"0,1"</x:formula1>
    </x:dataValidation>
    <x:dataValidation type="list" sqref="D5:D229">
      <x:formula1>"抖音广告,小红书,自然搜索,老客复购"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281077e3af43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12" hidden="0" customWidth="1"/>
    <x:col min="5" max="5" width="12" hidden="0" customWidth="1"/>
  </x:cols>
  <x:sheetData>
    <x:row r="1" ht="36" customHeight="1">
      <x:c r="A1" s="98" t="str">
        <x:v>广告投入</x:v>
      </x:c>
      <x:c r="B1" s="98" t="str">
        <x:v>广告投入</x:v>
      </x:c>
      <x:c r="C1" s="98" t="str">
        <x:v>广告投入</x:v>
      </x:c>
      <x:c r="D1" s="98" t="str">
        <x:v>广告投入</x:v>
      </x:c>
      <x:c r="E1" s="98" t="str">
        <x:v>广告投入</x:v>
      </x:c>
    </x:row>
    <x:row r="2" ht="24" customHeight="1">
      <x:c r="A2" s="99" t="str">
        <x:v>按月、按渠道输入广告成本、点击与新客数｜黄色区域为输入区</x:v>
      </x:c>
      <x:c r="B2" s="99" t="str">
        <x:v>按月、按渠道输入广告成本、点击与新客数｜黄色区域为输入区</x:v>
      </x:c>
      <x:c r="C2" s="99" t="str">
        <x:v>按月、按渠道输入广告成本、点击与新客数｜黄色区域为输入区</x:v>
      </x:c>
      <x:c r="D2" s="99" t="str">
        <x:v>按月、按渠道输入广告成本、点击与新客数｜黄色区域为输入区</x:v>
      </x:c>
      <x:c r="E2" s="99" t="str">
        <x:v>按月、按渠道输入广告成本、点击与新客数｜黄色区域为输入区</x:v>
      </x:c>
    </x:row>
    <x:row r="3">
      <x:c r="A3" s="100"/>
      <x:c r="B3" s="100"/>
      <x:c r="C3" s="100"/>
      <x:c r="D3" s="100"/>
      <x:c r="E3" s="100"/>
    </x:row>
    <x:row r="4" ht="28" customHeight="1">
      <x:c r="A4" s="111" t="str">
        <x:v>月份</x:v>
      </x:c>
      <x:c r="B4" s="113" t="str">
        <x:v>渠道</x:v>
      </x:c>
      <x:c r="C4" s="113" t="str">
        <x:v>广告投入</x:v>
      </x:c>
      <x:c r="D4" s="113" t="str">
        <x:v>点击</x:v>
      </x:c>
      <x:c r="E4" s="112" t="str">
        <x:v>新客数</x:v>
      </x:c>
    </x:row>
    <x:row r="5">
      <x:c r="A5" s="476" t="n">
        <x:v>46143</x:v>
      </x:c>
      <x:c r="B5" s="462" t="str">
        <x:v>抖音广告</x:v>
      </x:c>
      <x:c r="C5" s="463" t="n">
        <x:v>4200</x:v>
      </x:c>
      <x:c r="D5" s="463" t="n">
        <x:v>11300</x:v>
      </x:c>
      <x:c r="E5" s="463" t="n">
        <x:v>31</x:v>
      </x:c>
    </x:row>
    <x:row r="6">
      <x:c r="A6" s="477" t="n">
        <x:v>46143</x:v>
      </x:c>
      <x:c r="B6" s="467" t="str">
        <x:v>小红书</x:v>
      </x:c>
      <x:c r="C6" s="468" t="n">
        <x:v>3200</x:v>
      </x:c>
      <x:c r="D6" s="468" t="n">
        <x:v>8200</x:v>
      </x:c>
      <x:c r="E6" s="468" t="n">
        <x:v>27</x:v>
      </x:c>
    </x:row>
    <x:row r="7">
      <x:c r="A7" s="477" t="n">
        <x:v>46143</x:v>
      </x:c>
      <x:c r="B7" s="467" t="str">
        <x:v>自然搜索</x:v>
      </x:c>
      <x:c r="C7" s="468" t="n">
        <x:v>800</x:v>
      </x:c>
      <x:c r="D7" s="468" t="n">
        <x:v>5600</x:v>
      </x:c>
      <x:c r="E7" s="468" t="n">
        <x:v>18</x:v>
      </x:c>
    </x:row>
    <x:row r="8">
      <x:c r="A8" s="477" t="n">
        <x:v>46143</x:v>
      </x:c>
      <x:c r="B8" s="467" t="str">
        <x:v>老客复购</x:v>
      </x:c>
      <x:c r="C8" s="468" t="n">
        <x:v>300</x:v>
      </x:c>
      <x:c r="D8" s="468" t="n">
        <x:v>950</x:v>
      </x:c>
      <x:c r="E8" s="468" t="n">
        <x:v>7</x:v>
      </x:c>
    </x:row>
    <x:row r="9">
      <x:c r="A9" s="477" t="n">
        <x:v>46174</x:v>
      </x:c>
      <x:c r="B9" s="467" t="str">
        <x:v>抖音广告</x:v>
      </x:c>
      <x:c r="C9" s="468" t="n">
        <x:v>5200</x:v>
      </x:c>
      <x:c r="D9" s="468" t="n">
        <x:v>14700</x:v>
      </x:c>
      <x:c r="E9" s="468" t="n">
        <x:v>39</x:v>
      </x:c>
    </x:row>
    <x:row r="10">
      <x:c r="A10" s="477" t="n">
        <x:v>46174</x:v>
      </x:c>
      <x:c r="B10" s="467" t="str">
        <x:v>小红书</x:v>
      </x:c>
      <x:c r="C10" s="468" t="n">
        <x:v>3700</x:v>
      </x:c>
      <x:c r="D10" s="468" t="n">
        <x:v>9300</x:v>
      </x:c>
      <x:c r="E10" s="468" t="n">
        <x:v>31</x:v>
      </x:c>
    </x:row>
    <x:row r="11">
      <x:c r="A11" s="477" t="n">
        <x:v>46174</x:v>
      </x:c>
      <x:c r="B11" s="467" t="str">
        <x:v>自然搜索</x:v>
      </x:c>
      <x:c r="C11" s="468" t="n">
        <x:v>900</x:v>
      </x:c>
      <x:c r="D11" s="468" t="n">
        <x:v>6400</x:v>
      </x:c>
      <x:c r="E11" s="468" t="n">
        <x:v>22</x:v>
      </x:c>
    </x:row>
    <x:row r="12">
      <x:c r="A12" s="477" t="n">
        <x:v>46174</x:v>
      </x:c>
      <x:c r="B12" s="467" t="str">
        <x:v>老客复购</x:v>
      </x:c>
      <x:c r="C12" s="468" t="n">
        <x:v>400</x:v>
      </x:c>
      <x:c r="D12" s="468" t="n">
        <x:v>1180</x:v>
      </x:c>
      <x:c r="E12" s="468" t="n">
        <x:v>9</x:v>
      </x:c>
    </x:row>
    <x:row r="13">
      <x:c r="A13" s="477" t="n">
        <x:v>46204</x:v>
      </x:c>
      <x:c r="B13" s="467" t="str">
        <x:v>抖音广告</x:v>
      </x:c>
      <x:c r="C13" s="468" t="n">
        <x:v>7500</x:v>
      </x:c>
      <x:c r="D13" s="468" t="n">
        <x:v>20800</x:v>
      </x:c>
      <x:c r="E13" s="468" t="n">
        <x:v>49</x:v>
      </x:c>
    </x:row>
    <x:row r="14">
      <x:c r="A14" s="477" t="n">
        <x:v>46204</x:v>
      </x:c>
      <x:c r="B14" s="467" t="str">
        <x:v>小红书</x:v>
      </x:c>
      <x:c r="C14" s="468" t="n">
        <x:v>5200</x:v>
      </x:c>
      <x:c r="D14" s="468" t="n">
        <x:v>12600</x:v>
      </x:c>
      <x:c r="E14" s="468" t="n">
        <x:v>38</x:v>
      </x:c>
    </x:row>
    <x:row r="15">
      <x:c r="A15" s="477" t="n">
        <x:v>46204</x:v>
      </x:c>
      <x:c r="B15" s="467" t="str">
        <x:v>自然搜索</x:v>
      </x:c>
      <x:c r="C15" s="468" t="n">
        <x:v>1000</x:v>
      </x:c>
      <x:c r="D15" s="468" t="n">
        <x:v>7300</x:v>
      </x:c>
      <x:c r="E15" s="468" t="n">
        <x:v>25</x:v>
      </x:c>
    </x:row>
    <x:row r="16">
      <x:c r="A16" s="478" t="n">
        <x:v>46204</x:v>
      </x:c>
      <x:c r="B16" s="472" t="str">
        <x:v>老客复购</x:v>
      </x:c>
      <x:c r="C16" s="473" t="n">
        <x:v>600</x:v>
      </x:c>
      <x:c r="D16" s="473" t="n">
        <x:v>1420</x:v>
      </x:c>
      <x:c r="E16" s="473" t="n">
        <x:v>10</x:v>
      </x:c>
    </x:row>
  </x:sheetData>
  <x:mergeCells>
    <x:mergeCell ref="A1:E1"/>
    <x:mergeCell ref="A2:E2"/>
  </x:mergeCells>
  <x:dataValidations count="1">
    <x:dataValidation type="list" sqref="B5:B16">
      <x:formula1>"抖音广告,小红书,自然搜索,老客复购"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7edbeb852143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11" hidden="0" customWidth="1"/>
    <x:col min="5" max="5" width="14" hidden="0" customWidth="1"/>
    <x:col min="6" max="6" width="14" hidden="0" customWidth="1"/>
    <x:col min="7" max="7" width="8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1" hidden="0" customWidth="1"/>
  </x:cols>
  <x:sheetData>
    <x:row r="1" ht="36" customHeight="1">
      <x:c r="A1" s="98" t="str">
        <x:v>数据处理</x:v>
      </x:c>
      <x:c r="B1" s="98" t="str">
        <x:v>数据处理</x:v>
      </x:c>
      <x:c r="C1" s="98" t="str">
        <x:v>数据处理</x:v>
      </x:c>
      <x:c r="D1" s="98" t="str">
        <x:v>数据处理</x:v>
      </x:c>
      <x:c r="E1" s="98" t="str">
        <x:v>数据处理</x:v>
      </x:c>
      <x:c r="F1" s="98" t="str">
        <x:v>数据处理</x:v>
      </x:c>
      <x:c r="G1" s="98" t="str">
        <x:v>数据处理</x:v>
      </x:c>
      <x:c r="H1" s="98" t="str">
        <x:v>数据处理</x:v>
      </x:c>
      <x:c r="I1" s="98" t="str">
        <x:v>数据处理</x:v>
      </x:c>
      <x:c r="J1" s="98" t="str">
        <x:v>数据处理</x:v>
      </x:c>
      <x:c r="K1" s="98" t="str">
        <x:v>数据处理</x:v>
      </x:c>
      <x:c r="L1" s="98" t="str">
        <x:v>数据处理</x:v>
      </x:c>
      <x:c r="M1" s="98" t="str">
        <x:v>数据处理</x:v>
      </x:c>
      <x:c r="N1" s="98" t="str">
        <x:v>数据处理</x:v>
      </x:c>
      <x:c r="O1" s="98" t="str">
        <x:v>数据处理</x:v>
      </x:c>
      <x:c r="P1" s="98" t="str">
        <x:v>数据处理</x:v>
      </x:c>
      <x:c r="Q1" s="98" t="str">
        <x:v>数据处理</x:v>
      </x:c>
      <x:c r="R1" s="98" t="str">
        <x:v>数据处理</x:v>
      </x:c>
      <x:c r="S1" s="98" t="str">
        <x:v>数据处理</x:v>
      </x:c>
    </x:row>
    <x:row r="2" ht="24" customHeight="1">
      <x:c r="A2" s="99" t="str">
        <x:v>公式层：连接原始订单并计算收入、折扣、退款、成本、毛利与状态｜请勿覆盖</x:v>
      </x:c>
      <x:c r="B2" s="99" t="str">
        <x:v>公式层：连接原始订单并计算收入、折扣、退款、成本、毛利与状态｜请勿覆盖</x:v>
      </x:c>
      <x:c r="C2" s="99" t="str">
        <x:v>公式层：连接原始订单并计算收入、折扣、退款、成本、毛利与状态｜请勿覆盖</x:v>
      </x:c>
      <x:c r="D2" s="99" t="str">
        <x:v>公式层：连接原始订单并计算收入、折扣、退款、成本、毛利与状态｜请勿覆盖</x:v>
      </x:c>
      <x:c r="E2" s="99" t="str">
        <x:v>公式层：连接原始订单并计算收入、折扣、退款、成本、毛利与状态｜请勿覆盖</x:v>
      </x:c>
      <x:c r="F2" s="99" t="str">
        <x:v>公式层：连接原始订单并计算收入、折扣、退款、成本、毛利与状态｜请勿覆盖</x:v>
      </x:c>
      <x:c r="G2" s="99" t="str">
        <x:v>公式层：连接原始订单并计算收入、折扣、退款、成本、毛利与状态｜请勿覆盖</x:v>
      </x:c>
      <x:c r="H2" s="99" t="str">
        <x:v>公式层：连接原始订单并计算收入、折扣、退款、成本、毛利与状态｜请勿覆盖</x:v>
      </x:c>
      <x:c r="I2" s="99" t="str">
        <x:v>公式层：连接原始订单并计算收入、折扣、退款、成本、毛利与状态｜请勿覆盖</x:v>
      </x:c>
      <x:c r="J2" s="99" t="str">
        <x:v>公式层：连接原始订单并计算收入、折扣、退款、成本、毛利与状态｜请勿覆盖</x:v>
      </x:c>
      <x:c r="K2" s="99" t="str">
        <x:v>公式层：连接原始订单并计算收入、折扣、退款、成本、毛利与状态｜请勿覆盖</x:v>
      </x:c>
      <x:c r="L2" s="99" t="str">
        <x:v>公式层：连接原始订单并计算收入、折扣、退款、成本、毛利与状态｜请勿覆盖</x:v>
      </x:c>
      <x:c r="M2" s="99" t="str">
        <x:v>公式层：连接原始订单并计算收入、折扣、退款、成本、毛利与状态｜请勿覆盖</x:v>
      </x:c>
      <x:c r="N2" s="99" t="str">
        <x:v>公式层：连接原始订单并计算收入、折扣、退款、成本、毛利与状态｜请勿覆盖</x:v>
      </x:c>
      <x:c r="O2" s="99" t="str">
        <x:v>公式层：连接原始订单并计算收入、折扣、退款、成本、毛利与状态｜请勿覆盖</x:v>
      </x:c>
      <x:c r="P2" s="99" t="str">
        <x:v>公式层：连接原始订单并计算收入、折扣、退款、成本、毛利与状态｜请勿覆盖</x:v>
      </x:c>
      <x:c r="Q2" s="99" t="str">
        <x:v>公式层：连接原始订单并计算收入、折扣、退款、成本、毛利与状态｜请勿覆盖</x:v>
      </x:c>
      <x:c r="R2" s="99" t="str">
        <x:v>公式层：连接原始订单并计算收入、折扣、退款、成本、毛利与状态｜请勿覆盖</x:v>
      </x:c>
      <x:c r="S2" s="99" t="str">
        <x:v>公式层：连接原始订单并计算收入、折扣、退款、成本、毛利与状态｜请勿覆盖</x:v>
      </x:c>
    </x:row>
    <x:row r="3">
      <x:c r="A3" s="100"/>
      <x:c r="B3" s="100"/>
      <x:c r="C3" s="100"/>
      <x:c r="D3" s="100"/>
      <x:c r="E3" s="100"/>
      <x:c r="F3" s="100"/>
      <x:c r="G3" s="100"/>
      <x:c r="H3" s="100"/>
      <x:c r="I3" s="100"/>
      <x:c r="J3" s="100"/>
      <x:c r="K3" s="100"/>
      <x:c r="L3" s="100"/>
      <x:c r="M3" s="100"/>
      <x:c r="N3" s="100"/>
      <x:c r="O3" s="100"/>
      <x:c r="P3" s="100"/>
      <x:c r="Q3" s="100"/>
      <x:c r="R3" s="100"/>
      <x:c r="S3" s="100"/>
    </x:row>
    <x:row r="4" ht="28" customHeight="1">
      <x:c r="A4" s="111" t="str">
        <x:v>订单日期</x:v>
      </x:c>
      <x:c r="B4" s="113" t="str">
        <x:v>月份</x:v>
      </x:c>
      <x:c r="C4" s="113" t="str">
        <x:v>订单号</x:v>
      </x:c>
      <x:c r="D4" s="113" t="str">
        <x:v>客户ID</x:v>
      </x:c>
      <x:c r="E4" s="113" t="str">
        <x:v>渠道</x:v>
      </x:c>
      <x:c r="F4" s="113" t="str">
        <x:v>产品</x:v>
      </x:c>
      <x:c r="G4" s="113" t="str">
        <x:v>数量</x:v>
      </x:c>
      <x:c r="H4" s="113" t="str">
        <x:v>含税单价</x:v>
      </x:c>
      <x:c r="I4" s="113" t="str">
        <x:v>折扣率</x:v>
      </x:c>
      <x:c r="J4" s="113" t="str">
        <x:v>退款标记</x:v>
      </x:c>
      <x:c r="K4" s="113" t="str">
        <x:v>单位成本</x:v>
      </x:c>
      <x:c r="L4" s="113" t="str">
        <x:v>商品原价</x:v>
      </x:c>
      <x:c r="M4" s="113" t="str">
        <x:v>折扣金额</x:v>
      </x:c>
      <x:c r="N4" s="113" t="str">
        <x:v>退款金额</x:v>
      </x:c>
      <x:c r="O4" s="113" t="str">
        <x:v>净销售额</x:v>
      </x:c>
      <x:c r="P4" s="113" t="str">
        <x:v>有效成本</x:v>
      </x:c>
      <x:c r="Q4" s="113" t="str">
        <x:v>毛利润</x:v>
      </x:c>
      <x:c r="R4" s="113" t="str">
        <x:v>毛利率</x:v>
      </x:c>
      <x:c r="S4" s="112" t="str">
        <x:v>状态</x:v>
      </x:c>
    </x:row>
    <x:row r="5">
      <x:c r="A5" s="479" t="n">
        <x:f>'原始订单'!A5</x:f>
        <x:v>46143</x:v>
      </x:c>
      <x:c r="B5" s="480" t="n">
        <x:f>DATE(YEAR(A5),MONTH(A5),1)</x:f>
        <x:v>46143</x:v>
      </x:c>
      <x:c r="C5" s="481" t="str">
        <x:f>'原始订单'!B5</x:f>
        <x:v>D20260001</x:v>
      </x:c>
      <x:c r="D5" s="481" t="str">
        <x:f>'原始订单'!C5</x:f>
        <x:v>C1067</x:v>
      </x:c>
      <x:c r="E5" s="481" t="str">
        <x:f>'原始订单'!D5</x:f>
        <x:v>自然搜索</x:v>
      </x:c>
      <x:c r="F5" s="481" t="str">
        <x:f>'原始订单'!E5</x:f>
        <x:v>桌面收纳架</x:v>
      </x:c>
      <x:c r="G5" s="482" t="n">
        <x:f>'原始订单'!F5</x:f>
        <x:v>1</x:v>
      </x:c>
      <x:c r="H5" s="482" t="n">
        <x:f>'原始订单'!G5</x:f>
        <x:v>89</x:v>
      </x:c>
      <x:c r="I5" s="483" t="n">
        <x:f>'原始订单'!H5</x:f>
        <x:v>0.1</x:v>
      </x:c>
      <x:c r="J5" s="484" t="n">
        <x:f>'原始订单'!I5</x:f>
        <x:v>0</x:v>
      </x:c>
      <x:c r="K5" s="485" t="n">
        <x:f>'原始订单'!J5</x:f>
        <x:v>32</x:v>
      </x:c>
      <x:c r="L5" s="485" t="n">
        <x:f>G5*H5</x:f>
        <x:v>89</x:v>
      </x:c>
      <x:c r="M5" s="485" t="n">
        <x:f>L5*I5</x:f>
        <x:v>8.9</x:v>
      </x:c>
      <x:c r="N5" s="485" t="n">
        <x:f>(L5-M5)*J5</x:f>
        <x:v>0</x:v>
      </x:c>
      <x:c r="O5" s="485" t="n">
        <x:f>L5-M5-N5</x:f>
        <x:v>80.1</x:v>
      </x:c>
      <x:c r="P5" s="485" t="n">
        <x:f>G5*K5*(1-J5)</x:f>
        <x:v>32</x:v>
      </x:c>
      <x:c r="Q5" s="485" t="n">
        <x:f>O5-P5</x:f>
        <x:v>48.099999999999994</x:v>
      </x:c>
      <x:c r="R5" s="483" t="n">
        <x:f>IF(O5=0,0,Q5/O5)</x:f>
        <x:v>0.6004993757802747</x:v>
      </x:c>
      <x:c r="S5" s="481" t="str">
        <x:f>IF(J5=1,"退款",IF(I5&gt;=0.2,"高折扣","正常"))</x:f>
        <x:v>正常</x:v>
      </x:c>
    </x:row>
    <x:row r="6">
      <x:c r="A6" s="486" t="n">
        <x:f>'原始订单'!A6</x:f>
        <x:v>46143</x:v>
      </x:c>
      <x:c r="B6" s="487" t="n">
        <x:f>DATE(YEAR(A6),MONTH(A6),1)</x:f>
        <x:v>46143</x:v>
      </x:c>
      <x:c r="C6" s="488" t="str">
        <x:f>'原始订单'!B6</x:f>
        <x:v>D20260002</x:v>
      </x:c>
      <x:c r="D6" s="488" t="str">
        <x:f>'原始订单'!C6</x:f>
        <x:v>C1021</x:v>
      </x:c>
      <x:c r="E6" s="488" t="str">
        <x:f>'原始订单'!D6</x:f>
        <x:v>老客复购</x:v>
      </x:c>
      <x:c r="F6" s="488" t="str">
        <x:f>'原始订单'!E6</x:f>
        <x:v>桌面收纳架</x:v>
      </x:c>
      <x:c r="G6" s="489" t="n">
        <x:f>'原始订单'!F6</x:f>
        <x:v>1</x:v>
      </x:c>
      <x:c r="H6" s="489" t="n">
        <x:f>'原始订单'!G6</x:f>
        <x:v>89</x:v>
      </x:c>
      <x:c r="I6" s="490" t="n">
        <x:f>'原始订单'!H6</x:f>
        <x:v>0.1</x:v>
      </x:c>
      <x:c r="J6" s="491" t="n">
        <x:f>'原始订单'!I6</x:f>
        <x:v>1</x:v>
      </x:c>
      <x:c r="K6" s="492" t="n">
        <x:f>'原始订单'!J6</x:f>
        <x:v>32</x:v>
      </x:c>
      <x:c r="L6" s="492" t="n">
        <x:f>G6*H6</x:f>
        <x:v>89</x:v>
      </x:c>
      <x:c r="M6" s="492" t="n">
        <x:f>L6*I6</x:f>
        <x:v>8.9</x:v>
      </x:c>
      <x:c r="N6" s="492" t="n">
        <x:f>(L6-M6)*J6</x:f>
        <x:v>80.1</x:v>
      </x:c>
      <x:c r="O6" s="492" t="n">
        <x:f>L6-M6-N6</x:f>
        <x:v>0</x:v>
      </x:c>
      <x:c r="P6" s="492" t="n">
        <x:f>G6*K6*(1-J6)</x:f>
        <x:v>0</x:v>
      </x:c>
      <x:c r="Q6" s="492" t="n">
        <x:f>O6-P6</x:f>
        <x:v>0</x:v>
      </x:c>
      <x:c r="R6" s="490" t="n">
        <x:f>IF(O6=0,0,Q6/O6)</x:f>
        <x:v>0</x:v>
      </x:c>
      <x:c r="S6" s="488" t="str">
        <x:f>IF(J6=1,"退款",IF(I6&gt;=0.2,"高折扣","正常"))</x:f>
        <x:v>退款</x:v>
      </x:c>
    </x:row>
    <x:row r="7">
      <x:c r="A7" s="486" t="n">
        <x:f>'原始订单'!A7</x:f>
        <x:v>46144</x:v>
      </x:c>
      <x:c r="B7" s="487" t="n">
        <x:f>DATE(YEAR(A7),MONTH(A7),1)</x:f>
        <x:v>46143</x:v>
      </x:c>
      <x:c r="C7" s="488" t="str">
        <x:f>'原始订单'!B7</x:f>
        <x:v>D20260003</x:v>
      </x:c>
      <x:c r="D7" s="488" t="str">
        <x:f>'原始订单'!C7</x:f>
        <x:v>C1110</x:v>
      </x:c>
      <x:c r="E7" s="488" t="str">
        <x:f>'原始订单'!D7</x:f>
        <x:v>抖音广告</x:v>
      </x:c>
      <x:c r="F7" s="488" t="str">
        <x:f>'原始订单'!E7</x:f>
        <x:v>便携补光灯</x:v>
      </x:c>
      <x:c r="G7" s="489" t="n">
        <x:f>'原始订单'!F7</x:f>
        <x:v>2</x:v>
      </x:c>
      <x:c r="H7" s="489" t="n">
        <x:f>'原始订单'!G7</x:f>
        <x:v>159</x:v>
      </x:c>
      <x:c r="I7" s="490" t="n">
        <x:f>'原始订单'!H7</x:f>
        <x:v>0.05</x:v>
      </x:c>
      <x:c r="J7" s="491" t="n">
        <x:f>'原始订单'!I7</x:f>
        <x:v>0</x:v>
      </x:c>
      <x:c r="K7" s="492" t="n">
        <x:f>'原始订单'!J7</x:f>
        <x:v>72</x:v>
      </x:c>
      <x:c r="L7" s="492" t="n">
        <x:f>G7*H7</x:f>
        <x:v>318</x:v>
      </x:c>
      <x:c r="M7" s="492" t="n">
        <x:f>L7*I7</x:f>
        <x:v>15.9</x:v>
      </x:c>
      <x:c r="N7" s="492" t="n">
        <x:f>(L7-M7)*J7</x:f>
        <x:v>0</x:v>
      </x:c>
      <x:c r="O7" s="492" t="n">
        <x:f>L7-M7-N7</x:f>
        <x:v>302.1</x:v>
      </x:c>
      <x:c r="P7" s="492" t="n">
        <x:f>G7*K7*(1-J7)</x:f>
        <x:v>144</x:v>
      </x:c>
      <x:c r="Q7" s="492" t="n">
        <x:f>O7-P7</x:f>
        <x:v>158.10000000000002</x:v>
      </x:c>
      <x:c r="R7" s="490" t="n">
        <x:f>IF(O7=0,0,Q7/O7)</x:f>
        <x:v>0.5233366434955313</x:v>
      </x:c>
      <x:c r="S7" s="488" t="str">
        <x:f>IF(J7=1,"退款",IF(I7&gt;=0.2,"高折扣","正常"))</x:f>
        <x:v>正常</x:v>
      </x:c>
    </x:row>
    <x:row r="8">
      <x:c r="A8" s="486" t="n">
        <x:f>'原始订单'!A8</x:f>
        <x:v>46144</x:v>
      </x:c>
      <x:c r="B8" s="487" t="n">
        <x:f>DATE(YEAR(A8),MONTH(A8),1)</x:f>
        <x:v>46143</x:v>
      </x:c>
      <x:c r="C8" s="488" t="str">
        <x:f>'原始订单'!B8</x:f>
        <x:v>D20260004</x:v>
      </x:c>
      <x:c r="D8" s="488" t="str">
        <x:f>'原始订单'!C8</x:f>
        <x:v>C1005</x:v>
      </x:c>
      <x:c r="E8" s="488" t="str">
        <x:f>'原始订单'!D8</x:f>
        <x:v>自然搜索</x:v>
      </x:c>
      <x:c r="F8" s="488" t="str">
        <x:f>'原始订单'!E8</x:f>
        <x:v>轻量旅行杯</x:v>
      </x:c>
      <x:c r="G8" s="489" t="n">
        <x:f>'原始订单'!F8</x:f>
        <x:v>1</x:v>
      </x:c>
      <x:c r="H8" s="489" t="n">
        <x:f>'原始订单'!G8</x:f>
        <x:v>129</x:v>
      </x:c>
      <x:c r="I8" s="490" t="n">
        <x:f>'原始订单'!H8</x:f>
        <x:v>0</x:v>
      </x:c>
      <x:c r="J8" s="491" t="n">
        <x:f>'原始订单'!I8</x:f>
        <x:v>0</x:v>
      </x:c>
      <x:c r="K8" s="492" t="n">
        <x:f>'原始订单'!J8</x:f>
        <x:v>48</x:v>
      </x:c>
      <x:c r="L8" s="492" t="n">
        <x:f>G8*H8</x:f>
        <x:v>129</x:v>
      </x:c>
      <x:c r="M8" s="492" t="n">
        <x:f>L8*I8</x:f>
        <x:v>0</x:v>
      </x:c>
      <x:c r="N8" s="492" t="n">
        <x:f>(L8-M8)*J8</x:f>
        <x:v>0</x:v>
      </x:c>
      <x:c r="O8" s="492" t="n">
        <x:f>L8-M8-N8</x:f>
        <x:v>129</x:v>
      </x:c>
      <x:c r="P8" s="492" t="n">
        <x:f>G8*K8*(1-J8)</x:f>
        <x:v>48</x:v>
      </x:c>
      <x:c r="Q8" s="492" t="n">
        <x:f>O8-P8</x:f>
        <x:v>81</x:v>
      </x:c>
      <x:c r="R8" s="490" t="n">
        <x:f>IF(O8=0,0,Q8/O8)</x:f>
        <x:v>0.627906976744186</x:v>
      </x:c>
      <x:c r="S8" s="488" t="str">
        <x:f>IF(J8=1,"退款",IF(I8&gt;=0.2,"高折扣","正常"))</x:f>
        <x:v>正常</x:v>
      </x:c>
    </x:row>
    <x:row r="9">
      <x:c r="A9" s="486" t="n">
        <x:f>'原始订单'!A9</x:f>
        <x:v>46145</x:v>
      </x:c>
      <x:c r="B9" s="487" t="n">
        <x:f>DATE(YEAR(A9),MONTH(A9),1)</x:f>
        <x:v>46143</x:v>
      </x:c>
      <x:c r="C9" s="488" t="str">
        <x:f>'原始订单'!B9</x:f>
        <x:v>D20260005</x:v>
      </x:c>
      <x:c r="D9" s="488" t="str">
        <x:f>'原始订单'!C9</x:f>
        <x:v>C1015</x:v>
      </x:c>
      <x:c r="E9" s="488" t="str">
        <x:f>'原始订单'!D9</x:f>
        <x:v>老客复购</x:v>
      </x:c>
      <x:c r="F9" s="488" t="str">
        <x:f>'原始订单'!E9</x:f>
        <x:v>桌面收纳架</x:v>
      </x:c>
      <x:c r="G9" s="489" t="n">
        <x:f>'原始订单'!F9</x:f>
        <x:v>1</x:v>
      </x:c>
      <x:c r="H9" s="489" t="n">
        <x:f>'原始订单'!G9</x:f>
        <x:v>89</x:v>
      </x:c>
      <x:c r="I9" s="490" t="n">
        <x:f>'原始订单'!H9</x:f>
        <x:v>0.05</x:v>
      </x:c>
      <x:c r="J9" s="491" t="n">
        <x:f>'原始订单'!I9</x:f>
        <x:v>0</x:v>
      </x:c>
      <x:c r="K9" s="492" t="n">
        <x:f>'原始订单'!J9</x:f>
        <x:v>32</x:v>
      </x:c>
      <x:c r="L9" s="492" t="n">
        <x:f>G9*H9</x:f>
        <x:v>89</x:v>
      </x:c>
      <x:c r="M9" s="492" t="n">
        <x:f>L9*I9</x:f>
        <x:v>4.45</x:v>
      </x:c>
      <x:c r="N9" s="492" t="n">
        <x:f>(L9-M9)*J9</x:f>
        <x:v>0</x:v>
      </x:c>
      <x:c r="O9" s="492" t="n">
        <x:f>L9-M9-N9</x:f>
        <x:v>84.55</x:v>
      </x:c>
      <x:c r="P9" s="492" t="n">
        <x:f>G9*K9*(1-J9)</x:f>
        <x:v>32</x:v>
      </x:c>
      <x:c r="Q9" s="492" t="n">
        <x:f>O9-P9</x:f>
        <x:v>52.55</x:v>
      </x:c>
      <x:c r="R9" s="490" t="n">
        <x:f>IF(O9=0,0,Q9/O9)</x:f>
        <x:v>0.6215257244234181</x:v>
      </x:c>
      <x:c r="S9" s="488" t="str">
        <x:f>IF(J9=1,"退款",IF(I9&gt;=0.2,"高折扣","正常"))</x:f>
        <x:v>正常</x:v>
      </x:c>
    </x:row>
    <x:row r="10">
      <x:c r="A10" s="486" t="n">
        <x:f>'原始订单'!A10</x:f>
        <x:v>46145</x:v>
      </x:c>
      <x:c r="B10" s="487" t="n">
        <x:f>DATE(YEAR(A10),MONTH(A10),1)</x:f>
        <x:v>46143</x:v>
      </x:c>
      <x:c r="C10" s="488" t="str">
        <x:f>'原始订单'!B10</x:f>
        <x:v>D20260006</x:v>
      </x:c>
      <x:c r="D10" s="488" t="str">
        <x:f>'原始订单'!C10</x:f>
        <x:v>C1007</x:v>
      </x:c>
      <x:c r="E10" s="488" t="str">
        <x:f>'原始订单'!D10</x:f>
        <x:v>老客复购</x:v>
      </x:c>
      <x:c r="F10" s="488" t="str">
        <x:f>'原始订单'!E10</x:f>
        <x:v>便携补光灯</x:v>
      </x:c>
      <x:c r="G10" s="489" t="n">
        <x:f>'原始订单'!F10</x:f>
        <x:v>1</x:v>
      </x:c>
      <x:c r="H10" s="489" t="n">
        <x:f>'原始订单'!G10</x:f>
        <x:v>159</x:v>
      </x:c>
      <x:c r="I10" s="490" t="n">
        <x:f>'原始订单'!H10</x:f>
        <x:v>0.1</x:v>
      </x:c>
      <x:c r="J10" s="491" t="n">
        <x:f>'原始订单'!I10</x:f>
        <x:v>0</x:v>
      </x:c>
      <x:c r="K10" s="492" t="n">
        <x:f>'原始订单'!J10</x:f>
        <x:v>72</x:v>
      </x:c>
      <x:c r="L10" s="492" t="n">
        <x:f>G10*H10</x:f>
        <x:v>159</x:v>
      </x:c>
      <x:c r="M10" s="492" t="n">
        <x:f>L10*I10</x:f>
        <x:v>15.9</x:v>
      </x:c>
      <x:c r="N10" s="492" t="n">
        <x:f>(L10-M10)*J10</x:f>
        <x:v>0</x:v>
      </x:c>
      <x:c r="O10" s="492" t="n">
        <x:f>L10-M10-N10</x:f>
        <x:v>143.1</x:v>
      </x:c>
      <x:c r="P10" s="492" t="n">
        <x:f>G10*K10*(1-J10)</x:f>
        <x:v>72</x:v>
      </x:c>
      <x:c r="Q10" s="492" t="n">
        <x:f>O10-P10</x:f>
        <x:v>71.1</x:v>
      </x:c>
      <x:c r="R10" s="490" t="n">
        <x:f>IF(O10=0,0,Q10/O10)</x:f>
        <x:v>0.4968553459119497</x:v>
      </x:c>
      <x:c r="S10" s="488" t="str">
        <x:f>IF(J10=1,"退款",IF(I10&gt;=0.2,"高折扣","正常"))</x:f>
        <x:v>正常</x:v>
      </x:c>
    </x:row>
    <x:row r="11">
      <x:c r="A11" s="486" t="n">
        <x:f>'原始订单'!A11</x:f>
        <x:v>46146</x:v>
      </x:c>
      <x:c r="B11" s="487" t="n">
        <x:f>DATE(YEAR(A11),MONTH(A11),1)</x:f>
        <x:v>46143</x:v>
      </x:c>
      <x:c r="C11" s="488" t="str">
        <x:f>'原始订单'!B11</x:f>
        <x:v>D20260007</x:v>
      </x:c>
      <x:c r="D11" s="488" t="str">
        <x:f>'原始订单'!C11</x:f>
        <x:v>C1017</x:v>
      </x:c>
      <x:c r="E11" s="488" t="str">
        <x:f>'原始订单'!D11</x:f>
        <x:v>老客复购</x:v>
      </x:c>
      <x:c r="F11" s="488" t="str">
        <x:f>'原始订单'!E11</x:f>
        <x:v>轻量旅行杯</x:v>
      </x:c>
      <x:c r="G11" s="489" t="n">
        <x:f>'原始订单'!F11</x:f>
        <x:v>1</x:v>
      </x:c>
      <x:c r="H11" s="489" t="n">
        <x:f>'原始订单'!G11</x:f>
        <x:v>129</x:v>
      </x:c>
      <x:c r="I11" s="490" t="n">
        <x:f>'原始订单'!H11</x:f>
        <x:v>0</x:v>
      </x:c>
      <x:c r="J11" s="491" t="n">
        <x:f>'原始订单'!I11</x:f>
        <x:v>0</x:v>
      </x:c>
      <x:c r="K11" s="492" t="n">
        <x:f>'原始订单'!J11</x:f>
        <x:v>48</x:v>
      </x:c>
      <x:c r="L11" s="492" t="n">
        <x:f>G11*H11</x:f>
        <x:v>129</x:v>
      </x:c>
      <x:c r="M11" s="492" t="n">
        <x:f>L11*I11</x:f>
        <x:v>0</x:v>
      </x:c>
      <x:c r="N11" s="492" t="n">
        <x:f>(L11-M11)*J11</x:f>
        <x:v>0</x:v>
      </x:c>
      <x:c r="O11" s="492" t="n">
        <x:f>L11-M11-N11</x:f>
        <x:v>129</x:v>
      </x:c>
      <x:c r="P11" s="492" t="n">
        <x:f>G11*K11*(1-J11)</x:f>
        <x:v>48</x:v>
      </x:c>
      <x:c r="Q11" s="492" t="n">
        <x:f>O11-P11</x:f>
        <x:v>81</x:v>
      </x:c>
      <x:c r="R11" s="490" t="n">
        <x:f>IF(O11=0,0,Q11/O11)</x:f>
        <x:v>0.627906976744186</x:v>
      </x:c>
      <x:c r="S11" s="488" t="str">
        <x:f>IF(J11=1,"退款",IF(I11&gt;=0.2,"高折扣","正常"))</x:f>
        <x:v>正常</x:v>
      </x:c>
    </x:row>
    <x:row r="12">
      <x:c r="A12" s="486" t="n">
        <x:f>'原始订单'!A12</x:f>
        <x:v>46149</x:v>
      </x:c>
      <x:c r="B12" s="487" t="n">
        <x:f>DATE(YEAR(A12),MONTH(A12),1)</x:f>
        <x:v>46143</x:v>
      </x:c>
      <x:c r="C12" s="488" t="str">
        <x:f>'原始订单'!B12</x:f>
        <x:v>D20260008</x:v>
      </x:c>
      <x:c r="D12" s="488" t="str">
        <x:f>'原始订单'!C12</x:f>
        <x:v>C1041</x:v>
      </x:c>
      <x:c r="E12" s="488" t="str">
        <x:f>'原始订单'!D12</x:f>
        <x:v>小红书</x:v>
      </x:c>
      <x:c r="F12" s="488" t="str">
        <x:f>'原始订单'!E12</x:f>
        <x:v>桌面收纳架</x:v>
      </x:c>
      <x:c r="G12" s="489" t="n">
        <x:f>'原始订单'!F12</x:f>
        <x:v>2</x:v>
      </x:c>
      <x:c r="H12" s="489" t="n">
        <x:f>'原始订单'!G12</x:f>
        <x:v>89</x:v>
      </x:c>
      <x:c r="I12" s="490" t="n">
        <x:f>'原始订单'!H12</x:f>
        <x:v>0.05</x:v>
      </x:c>
      <x:c r="J12" s="491" t="n">
        <x:f>'原始订单'!I12</x:f>
        <x:v>0</x:v>
      </x:c>
      <x:c r="K12" s="492" t="n">
        <x:f>'原始订单'!J12</x:f>
        <x:v>32</x:v>
      </x:c>
      <x:c r="L12" s="492" t="n">
        <x:f>G12*H12</x:f>
        <x:v>178</x:v>
      </x:c>
      <x:c r="M12" s="492" t="n">
        <x:f>L12*I12</x:f>
        <x:v>8.9</x:v>
      </x:c>
      <x:c r="N12" s="492" t="n">
        <x:f>(L12-M12)*J12</x:f>
        <x:v>0</x:v>
      </x:c>
      <x:c r="O12" s="492" t="n">
        <x:f>L12-M12-N12</x:f>
        <x:v>169.1</x:v>
      </x:c>
      <x:c r="P12" s="492" t="n">
        <x:f>G12*K12*(1-J12)</x:f>
        <x:v>64</x:v>
      </x:c>
      <x:c r="Q12" s="492" t="n">
        <x:f>O12-P12</x:f>
        <x:v>105.1</x:v>
      </x:c>
      <x:c r="R12" s="490" t="n">
        <x:f>IF(O12=0,0,Q12/O12)</x:f>
        <x:v>0.6215257244234181</x:v>
      </x:c>
      <x:c r="S12" s="488" t="str">
        <x:f>IF(J12=1,"退款",IF(I12&gt;=0.2,"高折扣","正常"))</x:f>
        <x:v>正常</x:v>
      </x:c>
    </x:row>
    <x:row r="13">
      <x:c r="A13" s="486" t="n">
        <x:f>'原始订单'!A13</x:f>
        <x:v>46149</x:v>
      </x:c>
      <x:c r="B13" s="487" t="n">
        <x:f>DATE(YEAR(A13),MONTH(A13),1)</x:f>
        <x:v>46143</x:v>
      </x:c>
      <x:c r="C13" s="488" t="str">
        <x:f>'原始订单'!B13</x:f>
        <x:v>D20260009</x:v>
      </x:c>
      <x:c r="D13" s="488" t="str">
        <x:f>'原始订单'!C13</x:f>
        <x:v>C1118</x:v>
      </x:c>
      <x:c r="E13" s="488" t="str">
        <x:f>'原始订单'!D13</x:f>
        <x:v>自然搜索</x:v>
      </x:c>
      <x:c r="F13" s="488" t="str">
        <x:f>'原始订单'!E13</x:f>
        <x:v>轻量旅行杯</x:v>
      </x:c>
      <x:c r="G13" s="489" t="n">
        <x:f>'原始订单'!F13</x:f>
        <x:v>1</x:v>
      </x:c>
      <x:c r="H13" s="489" t="n">
        <x:f>'原始订单'!G13</x:f>
        <x:v>129</x:v>
      </x:c>
      <x:c r="I13" s="490" t="n">
        <x:f>'原始订单'!H13</x:f>
        <x:v>0.1</x:v>
      </x:c>
      <x:c r="J13" s="491" t="n">
        <x:f>'原始订单'!I13</x:f>
        <x:v>0</x:v>
      </x:c>
      <x:c r="K13" s="492" t="n">
        <x:f>'原始订单'!J13</x:f>
        <x:v>48</x:v>
      </x:c>
      <x:c r="L13" s="492" t="n">
        <x:f>G13*H13</x:f>
        <x:v>129</x:v>
      </x:c>
      <x:c r="M13" s="492" t="n">
        <x:f>L13*I13</x:f>
        <x:v>12.9</x:v>
      </x:c>
      <x:c r="N13" s="492" t="n">
        <x:f>(L13-M13)*J13</x:f>
        <x:v>0</x:v>
      </x:c>
      <x:c r="O13" s="492" t="n">
        <x:f>L13-M13-N13</x:f>
        <x:v>116.1</x:v>
      </x:c>
      <x:c r="P13" s="492" t="n">
        <x:f>G13*K13*(1-J13)</x:f>
        <x:v>48</x:v>
      </x:c>
      <x:c r="Q13" s="492" t="n">
        <x:f>O13-P13</x:f>
        <x:v>68.1</x:v>
      </x:c>
      <x:c r="R13" s="490" t="n">
        <x:f>IF(O13=0,0,Q13/O13)</x:f>
        <x:v>0.58656330749354</x:v>
      </x:c>
      <x:c r="S13" s="488" t="str">
        <x:f>IF(J13=1,"退款",IF(I13&gt;=0.2,"高折扣","正常"))</x:f>
        <x:v>正常</x:v>
      </x:c>
    </x:row>
    <x:row r="14">
      <x:c r="A14" s="486" t="n">
        <x:f>'原始订单'!A14</x:f>
        <x:v>46150</x:v>
      </x:c>
      <x:c r="B14" s="487" t="n">
        <x:f>DATE(YEAR(A14),MONTH(A14),1)</x:f>
        <x:v>46143</x:v>
      </x:c>
      <x:c r="C14" s="488" t="str">
        <x:f>'原始订单'!B14</x:f>
        <x:v>D20260010</x:v>
      </x:c>
      <x:c r="D14" s="488" t="str">
        <x:f>'原始订单'!C14</x:f>
        <x:v>C1122</x:v>
      </x:c>
      <x:c r="E14" s="488" t="str">
        <x:f>'原始订单'!D14</x:f>
        <x:v>小红书</x:v>
      </x:c>
      <x:c r="F14" s="488" t="str">
        <x:f>'原始订单'!E14</x:f>
        <x:v>便携补光灯</x:v>
      </x:c>
      <x:c r="G14" s="489" t="n">
        <x:f>'原始订单'!F14</x:f>
        <x:v>1</x:v>
      </x:c>
      <x:c r="H14" s="489" t="n">
        <x:f>'原始订单'!G14</x:f>
        <x:v>159</x:v>
      </x:c>
      <x:c r="I14" s="490" t="n">
        <x:f>'原始订单'!H14</x:f>
        <x:v>0.1</x:v>
      </x:c>
      <x:c r="J14" s="491" t="n">
        <x:f>'原始订单'!I14</x:f>
        <x:v>0</x:v>
      </x:c>
      <x:c r="K14" s="492" t="n">
        <x:f>'原始订单'!J14</x:f>
        <x:v>72</x:v>
      </x:c>
      <x:c r="L14" s="492" t="n">
        <x:f>G14*H14</x:f>
        <x:v>159</x:v>
      </x:c>
      <x:c r="M14" s="492" t="n">
        <x:f>L14*I14</x:f>
        <x:v>15.9</x:v>
      </x:c>
      <x:c r="N14" s="492" t="n">
        <x:f>(L14-M14)*J14</x:f>
        <x:v>0</x:v>
      </x:c>
      <x:c r="O14" s="492" t="n">
        <x:f>L14-M14-N14</x:f>
        <x:v>143.1</x:v>
      </x:c>
      <x:c r="P14" s="492" t="n">
        <x:f>G14*K14*(1-J14)</x:f>
        <x:v>72</x:v>
      </x:c>
      <x:c r="Q14" s="492" t="n">
        <x:f>O14-P14</x:f>
        <x:v>71.1</x:v>
      </x:c>
      <x:c r="R14" s="490" t="n">
        <x:f>IF(O14=0,0,Q14/O14)</x:f>
        <x:v>0.4968553459119497</x:v>
      </x:c>
      <x:c r="S14" s="488" t="str">
        <x:f>IF(J14=1,"退款",IF(I14&gt;=0.2,"高折扣","正常"))</x:f>
        <x:v>正常</x:v>
      </x:c>
    </x:row>
    <x:row r="15">
      <x:c r="A15" s="486" t="n">
        <x:f>'原始订单'!A15</x:f>
        <x:v>46150</x:v>
      </x:c>
      <x:c r="B15" s="487" t="n">
        <x:f>DATE(YEAR(A15),MONTH(A15),1)</x:f>
        <x:v>46143</x:v>
      </x:c>
      <x:c r="C15" s="488" t="str">
        <x:f>'原始订单'!B15</x:f>
        <x:v>D20260011</x:v>
      </x:c>
      <x:c r="D15" s="488" t="str">
        <x:f>'原始订单'!C15</x:f>
        <x:v>C1054</x:v>
      </x:c>
      <x:c r="E15" s="488" t="str">
        <x:f>'原始订单'!D15</x:f>
        <x:v>自然搜索</x:v>
      </x:c>
      <x:c r="F15" s="488" t="str">
        <x:f>'原始订单'!E15</x:f>
        <x:v>便携补光灯</x:v>
      </x:c>
      <x:c r="G15" s="489" t="n">
        <x:f>'原始订单'!F15</x:f>
        <x:v>1</x:v>
      </x:c>
      <x:c r="H15" s="489" t="n">
        <x:f>'原始订单'!G15</x:f>
        <x:v>159</x:v>
      </x:c>
      <x:c r="I15" s="490" t="n">
        <x:f>'原始订单'!H15</x:f>
        <x:v>0.1</x:v>
      </x:c>
      <x:c r="J15" s="491" t="n">
        <x:f>'原始订单'!I15</x:f>
        <x:v>0</x:v>
      </x:c>
      <x:c r="K15" s="492" t="n">
        <x:f>'原始订单'!J15</x:f>
        <x:v>72</x:v>
      </x:c>
      <x:c r="L15" s="492" t="n">
        <x:f>G15*H15</x:f>
        <x:v>159</x:v>
      </x:c>
      <x:c r="M15" s="492" t="n">
        <x:f>L15*I15</x:f>
        <x:v>15.9</x:v>
      </x:c>
      <x:c r="N15" s="492" t="n">
        <x:f>(L15-M15)*J15</x:f>
        <x:v>0</x:v>
      </x:c>
      <x:c r="O15" s="492" t="n">
        <x:f>L15-M15-N15</x:f>
        <x:v>143.1</x:v>
      </x:c>
      <x:c r="P15" s="492" t="n">
        <x:f>G15*K15*(1-J15)</x:f>
        <x:v>72</x:v>
      </x:c>
      <x:c r="Q15" s="492" t="n">
        <x:f>O15-P15</x:f>
        <x:v>71.1</x:v>
      </x:c>
      <x:c r="R15" s="490" t="n">
        <x:f>IF(O15=0,0,Q15/O15)</x:f>
        <x:v>0.4968553459119497</x:v>
      </x:c>
      <x:c r="S15" s="488" t="str">
        <x:f>IF(J15=1,"退款",IF(I15&gt;=0.2,"高折扣","正常"))</x:f>
        <x:v>正常</x:v>
      </x:c>
    </x:row>
    <x:row r="16">
      <x:c r="A16" s="486" t="n">
        <x:f>'原始订单'!A16</x:f>
        <x:v>46150</x:v>
      </x:c>
      <x:c r="B16" s="487" t="n">
        <x:f>DATE(YEAR(A16),MONTH(A16),1)</x:f>
        <x:v>46143</x:v>
      </x:c>
      <x:c r="C16" s="488" t="str">
        <x:f>'原始订单'!B16</x:f>
        <x:v>D20260012</x:v>
      </x:c>
      <x:c r="D16" s="488" t="str">
        <x:f>'原始订单'!C16</x:f>
        <x:v>C1016</x:v>
      </x:c>
      <x:c r="E16" s="488" t="str">
        <x:f>'原始订单'!D16</x:f>
        <x:v>自然搜索</x:v>
      </x:c>
      <x:c r="F16" s="488" t="str">
        <x:f>'原始订单'!E16</x:f>
        <x:v>桌面收纳架</x:v>
      </x:c>
      <x:c r="G16" s="489" t="n">
        <x:f>'原始订单'!F16</x:f>
        <x:v>2</x:v>
      </x:c>
      <x:c r="H16" s="489" t="n">
        <x:f>'原始订单'!G16</x:f>
        <x:v>89</x:v>
      </x:c>
      <x:c r="I16" s="490" t="n">
        <x:f>'原始订单'!H16</x:f>
        <x:v>0.1</x:v>
      </x:c>
      <x:c r="J16" s="491" t="n">
        <x:f>'原始订单'!I16</x:f>
        <x:v>0</x:v>
      </x:c>
      <x:c r="K16" s="492" t="n">
        <x:f>'原始订单'!J16</x:f>
        <x:v>32</x:v>
      </x:c>
      <x:c r="L16" s="492" t="n">
        <x:f>G16*H16</x:f>
        <x:v>178</x:v>
      </x:c>
      <x:c r="M16" s="492" t="n">
        <x:f>L16*I16</x:f>
        <x:v>17.8</x:v>
      </x:c>
      <x:c r="N16" s="492" t="n">
        <x:f>(L16-M16)*J16</x:f>
        <x:v>0</x:v>
      </x:c>
      <x:c r="O16" s="492" t="n">
        <x:f>L16-M16-N16</x:f>
        <x:v>160.2</x:v>
      </x:c>
      <x:c r="P16" s="492" t="n">
        <x:f>G16*K16*(1-J16)</x:f>
        <x:v>64</x:v>
      </x:c>
      <x:c r="Q16" s="492" t="n">
        <x:f>O16-P16</x:f>
        <x:v>96.19999999999999</x:v>
      </x:c>
      <x:c r="R16" s="490" t="n">
        <x:f>IF(O16=0,0,Q16/O16)</x:f>
        <x:v>0.6004993757802747</x:v>
      </x:c>
      <x:c r="S16" s="488" t="str">
        <x:f>IF(J16=1,"退款",IF(I16&gt;=0.2,"高折扣","正常"))</x:f>
        <x:v>正常</x:v>
      </x:c>
    </x:row>
    <x:row r="17">
      <x:c r="A17" s="486" t="n">
        <x:f>'原始订单'!A17</x:f>
        <x:v>46151</x:v>
      </x:c>
      <x:c r="B17" s="487" t="n">
        <x:f>DATE(YEAR(A17),MONTH(A17),1)</x:f>
        <x:v>46143</x:v>
      </x:c>
      <x:c r="C17" s="488" t="str">
        <x:f>'原始订单'!B17</x:f>
        <x:v>D20260013</x:v>
      </x:c>
      <x:c r="D17" s="488" t="str">
        <x:f>'原始订单'!C17</x:f>
        <x:v>C1128</x:v>
      </x:c>
      <x:c r="E17" s="488" t="str">
        <x:f>'原始订单'!D17</x:f>
        <x:v>抖音广告</x:v>
      </x:c>
      <x:c r="F17" s="488" t="str">
        <x:f>'原始订单'!E17</x:f>
        <x:v>桌面收纳架</x:v>
      </x:c>
      <x:c r="G17" s="489" t="n">
        <x:f>'原始订单'!F17</x:f>
        <x:v>3</x:v>
      </x:c>
      <x:c r="H17" s="489" t="n">
        <x:f>'原始订单'!G17</x:f>
        <x:v>89</x:v>
      </x:c>
      <x:c r="I17" s="490" t="n">
        <x:f>'原始订单'!H17</x:f>
        <x:v>0.05</x:v>
      </x:c>
      <x:c r="J17" s="491" t="n">
        <x:f>'原始订单'!I17</x:f>
        <x:v>0</x:v>
      </x:c>
      <x:c r="K17" s="492" t="n">
        <x:f>'原始订单'!J17</x:f>
        <x:v>32</x:v>
      </x:c>
      <x:c r="L17" s="492" t="n">
        <x:f>G17*H17</x:f>
        <x:v>267</x:v>
      </x:c>
      <x:c r="M17" s="492" t="n">
        <x:f>L17*I17</x:f>
        <x:v>13.350000000000001</x:v>
      </x:c>
      <x:c r="N17" s="492" t="n">
        <x:f>(L17-M17)*J17</x:f>
        <x:v>0</x:v>
      </x:c>
      <x:c r="O17" s="492" t="n">
        <x:f>L17-M17-N17</x:f>
        <x:v>253.65</x:v>
      </x:c>
      <x:c r="P17" s="492" t="n">
        <x:f>G17*K17*(1-J17)</x:f>
        <x:v>96</x:v>
      </x:c>
      <x:c r="Q17" s="492" t="n">
        <x:f>O17-P17</x:f>
        <x:v>157.65</x:v>
      </x:c>
      <x:c r="R17" s="490" t="n">
        <x:f>IF(O17=0,0,Q17/O17)</x:f>
        <x:v>0.6215257244234181</x:v>
      </x:c>
      <x:c r="S17" s="488" t="str">
        <x:f>IF(J17=1,"退款",IF(I17&gt;=0.2,"高折扣","正常"))</x:f>
        <x:v>正常</x:v>
      </x:c>
    </x:row>
    <x:row r="18">
      <x:c r="A18" s="486" t="n">
        <x:f>'原始订单'!A18</x:f>
        <x:v>46151</x:v>
      </x:c>
      <x:c r="B18" s="487" t="n">
        <x:f>DATE(YEAR(A18),MONTH(A18),1)</x:f>
        <x:v>46143</x:v>
      </x:c>
      <x:c r="C18" s="488" t="str">
        <x:f>'原始订单'!B18</x:f>
        <x:v>D20260014</x:v>
      </x:c>
      <x:c r="D18" s="488" t="str">
        <x:f>'原始订单'!C18</x:f>
        <x:v>C1147</x:v>
      </x:c>
      <x:c r="E18" s="488" t="str">
        <x:f>'原始订单'!D18</x:f>
        <x:v>小红书</x:v>
      </x:c>
      <x:c r="F18" s="488" t="str">
        <x:f>'原始订单'!E18</x:f>
        <x:v>便携补光灯</x:v>
      </x:c>
      <x:c r="G18" s="489" t="n">
        <x:f>'原始订单'!F18</x:f>
        <x:v>1</x:v>
      </x:c>
      <x:c r="H18" s="489" t="n">
        <x:f>'原始订单'!G18</x:f>
        <x:v>159</x:v>
      </x:c>
      <x:c r="I18" s="490" t="n">
        <x:f>'原始订单'!H18</x:f>
        <x:v>0.2</x:v>
      </x:c>
      <x:c r="J18" s="491" t="n">
        <x:f>'原始订单'!I18</x:f>
        <x:v>0</x:v>
      </x:c>
      <x:c r="K18" s="492" t="n">
        <x:f>'原始订单'!J18</x:f>
        <x:v>72</x:v>
      </x:c>
      <x:c r="L18" s="492" t="n">
        <x:f>G18*H18</x:f>
        <x:v>159</x:v>
      </x:c>
      <x:c r="M18" s="492" t="n">
        <x:f>L18*I18</x:f>
        <x:v>31.8</x:v>
      </x:c>
      <x:c r="N18" s="492" t="n">
        <x:f>(L18-M18)*J18</x:f>
        <x:v>0</x:v>
      </x:c>
      <x:c r="O18" s="492" t="n">
        <x:f>L18-M18-N18</x:f>
        <x:v>127.2</x:v>
      </x:c>
      <x:c r="P18" s="492" t="n">
        <x:f>G18*K18*(1-J18)</x:f>
        <x:v>72</x:v>
      </x:c>
      <x:c r="Q18" s="492" t="n">
        <x:f>O18-P18</x:f>
        <x:v>55.2</x:v>
      </x:c>
      <x:c r="R18" s="490" t="n">
        <x:f>IF(O18=0,0,Q18/O18)</x:f>
        <x:v>0.4339622641509434</x:v>
      </x:c>
      <x:c r="S18" s="488" t="str">
        <x:f>IF(J18=1,"退款",IF(I18&gt;=0.2,"高折扣","正常"))</x:f>
        <x:v>高折扣</x:v>
      </x:c>
    </x:row>
    <x:row r="19">
      <x:c r="A19" s="486" t="n">
        <x:f>'原始订单'!A19</x:f>
        <x:v>46152</x:v>
      </x:c>
      <x:c r="B19" s="487" t="n">
        <x:f>DATE(YEAR(A19),MONTH(A19),1)</x:f>
        <x:v>46143</x:v>
      </x:c>
      <x:c r="C19" s="488" t="str">
        <x:f>'原始订单'!B19</x:f>
        <x:v>D20260015</x:v>
      </x:c>
      <x:c r="D19" s="488" t="str">
        <x:f>'原始订单'!C19</x:f>
        <x:v>C1005</x:v>
      </x:c>
      <x:c r="E19" s="488" t="str">
        <x:f>'原始订单'!D19</x:f>
        <x:v>老客复购</x:v>
      </x:c>
      <x:c r="F19" s="488" t="str">
        <x:f>'原始订单'!E19</x:f>
        <x:v>轻量旅行杯</x:v>
      </x:c>
      <x:c r="G19" s="489" t="n">
        <x:f>'原始订单'!F19</x:f>
        <x:v>1</x:v>
      </x:c>
      <x:c r="H19" s="489" t="n">
        <x:f>'原始订单'!G19</x:f>
        <x:v>129</x:v>
      </x:c>
      <x:c r="I19" s="490" t="n">
        <x:f>'原始订单'!H19</x:f>
        <x:v>0.05</x:v>
      </x:c>
      <x:c r="J19" s="491" t="n">
        <x:f>'原始订单'!I19</x:f>
        <x:v>0</x:v>
      </x:c>
      <x:c r="K19" s="492" t="n">
        <x:f>'原始订单'!J19</x:f>
        <x:v>48</x:v>
      </x:c>
      <x:c r="L19" s="492" t="n">
        <x:f>G19*H19</x:f>
        <x:v>129</x:v>
      </x:c>
      <x:c r="M19" s="492" t="n">
        <x:f>L19*I19</x:f>
        <x:v>6.45</x:v>
      </x:c>
      <x:c r="N19" s="492" t="n">
        <x:f>(L19-M19)*J19</x:f>
        <x:v>0</x:v>
      </x:c>
      <x:c r="O19" s="492" t="n">
        <x:f>L19-M19-N19</x:f>
        <x:v>122.55</x:v>
      </x:c>
      <x:c r="P19" s="492" t="n">
        <x:f>G19*K19*(1-J19)</x:f>
        <x:v>48</x:v>
      </x:c>
      <x:c r="Q19" s="492" t="n">
        <x:f>O19-P19</x:f>
        <x:v>74.55</x:v>
      </x:c>
      <x:c r="R19" s="490" t="n">
        <x:f>IF(O19=0,0,Q19/O19)</x:f>
        <x:v>0.6083231334149327</x:v>
      </x:c>
      <x:c r="S19" s="488" t="str">
        <x:f>IF(J19=1,"退款",IF(I19&gt;=0.2,"高折扣","正常"))</x:f>
        <x:v>正常</x:v>
      </x:c>
    </x:row>
    <x:row r="20">
      <x:c r="A20" s="486" t="n">
        <x:f>'原始订单'!A20</x:f>
        <x:v>46152</x:v>
      </x:c>
      <x:c r="B20" s="487" t="n">
        <x:f>DATE(YEAR(A20),MONTH(A20),1)</x:f>
        <x:v>46143</x:v>
      </x:c>
      <x:c r="C20" s="488" t="str">
        <x:f>'原始订单'!B20</x:f>
        <x:v>D20260016</x:v>
      </x:c>
      <x:c r="D20" s="488" t="str">
        <x:f>'原始订单'!C20</x:f>
        <x:v>C1092</x:v>
      </x:c>
      <x:c r="E20" s="488" t="str">
        <x:f>'原始订单'!D20</x:f>
        <x:v>自然搜索</x:v>
      </x:c>
      <x:c r="F20" s="488" t="str">
        <x:f>'原始订单'!E20</x:f>
        <x:v>桌面收纳架</x:v>
      </x:c>
      <x:c r="G20" s="489" t="n">
        <x:f>'原始订单'!F20</x:f>
        <x:v>1</x:v>
      </x:c>
      <x:c r="H20" s="489" t="n">
        <x:f>'原始订单'!G20</x:f>
        <x:v>89</x:v>
      </x:c>
      <x:c r="I20" s="490" t="n">
        <x:f>'原始订单'!H20</x:f>
        <x:v>0.1</x:v>
      </x:c>
      <x:c r="J20" s="491" t="n">
        <x:f>'原始订单'!I20</x:f>
        <x:v>0</x:v>
      </x:c>
      <x:c r="K20" s="492" t="n">
        <x:f>'原始订单'!J20</x:f>
        <x:v>32</x:v>
      </x:c>
      <x:c r="L20" s="492" t="n">
        <x:f>G20*H20</x:f>
        <x:v>89</x:v>
      </x:c>
      <x:c r="M20" s="492" t="n">
        <x:f>L20*I20</x:f>
        <x:v>8.9</x:v>
      </x:c>
      <x:c r="N20" s="492" t="n">
        <x:f>(L20-M20)*J20</x:f>
        <x:v>0</x:v>
      </x:c>
      <x:c r="O20" s="492" t="n">
        <x:f>L20-M20-N20</x:f>
        <x:v>80.1</x:v>
      </x:c>
      <x:c r="P20" s="492" t="n">
        <x:f>G20*K20*(1-J20)</x:f>
        <x:v>32</x:v>
      </x:c>
      <x:c r="Q20" s="492" t="n">
        <x:f>O20-P20</x:f>
        <x:v>48.099999999999994</x:v>
      </x:c>
      <x:c r="R20" s="490" t="n">
        <x:f>IF(O20=0,0,Q20/O20)</x:f>
        <x:v>0.6004993757802747</x:v>
      </x:c>
      <x:c r="S20" s="488" t="str">
        <x:f>IF(J20=1,"退款",IF(I20&gt;=0.2,"高折扣","正常"))</x:f>
        <x:v>正常</x:v>
      </x:c>
    </x:row>
    <x:row r="21">
      <x:c r="A21" s="486" t="n">
        <x:f>'原始订单'!A21</x:f>
        <x:v>46154</x:v>
      </x:c>
      <x:c r="B21" s="487" t="n">
        <x:f>DATE(YEAR(A21),MONTH(A21),1)</x:f>
        <x:v>46143</x:v>
      </x:c>
      <x:c r="C21" s="488" t="str">
        <x:f>'原始订单'!B21</x:f>
        <x:v>D20260017</x:v>
      </x:c>
      <x:c r="D21" s="488" t="str">
        <x:f>'原始订单'!C21</x:f>
        <x:v>C1100</x:v>
      </x:c>
      <x:c r="E21" s="488" t="str">
        <x:f>'原始订单'!D21</x:f>
        <x:v>小红书</x:v>
      </x:c>
      <x:c r="F21" s="488" t="str">
        <x:f>'原始订单'!E21</x:f>
        <x:v>轻量旅行杯</x:v>
      </x:c>
      <x:c r="G21" s="489" t="n">
        <x:f>'原始订单'!F21</x:f>
        <x:v>2</x:v>
      </x:c>
      <x:c r="H21" s="489" t="n">
        <x:f>'原始订单'!G21</x:f>
        <x:v>129</x:v>
      </x:c>
      <x:c r="I21" s="490" t="n">
        <x:f>'原始订单'!H21</x:f>
        <x:v>0</x:v>
      </x:c>
      <x:c r="J21" s="491" t="n">
        <x:f>'原始订单'!I21</x:f>
        <x:v>0</x:v>
      </x:c>
      <x:c r="K21" s="492" t="n">
        <x:f>'原始订单'!J21</x:f>
        <x:v>48</x:v>
      </x:c>
      <x:c r="L21" s="492" t="n">
        <x:f>G21*H21</x:f>
        <x:v>258</x:v>
      </x:c>
      <x:c r="M21" s="492" t="n">
        <x:f>L21*I21</x:f>
        <x:v>0</x:v>
      </x:c>
      <x:c r="N21" s="492" t="n">
        <x:f>(L21-M21)*J21</x:f>
        <x:v>0</x:v>
      </x:c>
      <x:c r="O21" s="492" t="n">
        <x:f>L21-M21-N21</x:f>
        <x:v>258</x:v>
      </x:c>
      <x:c r="P21" s="492" t="n">
        <x:f>G21*K21*(1-J21)</x:f>
        <x:v>96</x:v>
      </x:c>
      <x:c r="Q21" s="492" t="n">
        <x:f>O21-P21</x:f>
        <x:v>162</x:v>
      </x:c>
      <x:c r="R21" s="490" t="n">
        <x:f>IF(O21=0,0,Q21/O21)</x:f>
        <x:v>0.627906976744186</x:v>
      </x:c>
      <x:c r="S21" s="488" t="str">
        <x:f>IF(J21=1,"退款",IF(I21&gt;=0.2,"高折扣","正常"))</x:f>
        <x:v>正常</x:v>
      </x:c>
    </x:row>
    <x:row r="22">
      <x:c r="A22" s="486" t="n">
        <x:f>'原始订单'!A22</x:f>
        <x:v>46154</x:v>
      </x:c>
      <x:c r="B22" s="487" t="n">
        <x:f>DATE(YEAR(A22),MONTH(A22),1)</x:f>
        <x:v>46143</x:v>
      </x:c>
      <x:c r="C22" s="488" t="str">
        <x:f>'原始订单'!B22</x:f>
        <x:v>D20260018</x:v>
      </x:c>
      <x:c r="D22" s="488" t="str">
        <x:f>'原始订单'!C22</x:f>
        <x:v>C1051</x:v>
      </x:c>
      <x:c r="E22" s="488" t="str">
        <x:f>'原始订单'!D22</x:f>
        <x:v>抖音广告</x:v>
      </x:c>
      <x:c r="F22" s="488" t="str">
        <x:f>'原始订单'!E22</x:f>
        <x:v>桌面收纳架</x:v>
      </x:c>
      <x:c r="G22" s="489" t="n">
        <x:f>'原始订单'!F22</x:f>
        <x:v>1</x:v>
      </x:c>
      <x:c r="H22" s="489" t="n">
        <x:f>'原始订单'!G22</x:f>
        <x:v>89</x:v>
      </x:c>
      <x:c r="I22" s="490" t="n">
        <x:f>'原始订单'!H22</x:f>
        <x:v>0</x:v>
      </x:c>
      <x:c r="J22" s="491" t="n">
        <x:f>'原始订单'!I22</x:f>
        <x:v>1</x:v>
      </x:c>
      <x:c r="K22" s="492" t="n">
        <x:f>'原始订单'!J22</x:f>
        <x:v>32</x:v>
      </x:c>
      <x:c r="L22" s="492" t="n">
        <x:f>G22*H22</x:f>
        <x:v>89</x:v>
      </x:c>
      <x:c r="M22" s="492" t="n">
        <x:f>L22*I22</x:f>
        <x:v>0</x:v>
      </x:c>
      <x:c r="N22" s="492" t="n">
        <x:f>(L22-M22)*J22</x:f>
        <x:v>89</x:v>
      </x:c>
      <x:c r="O22" s="492" t="n">
        <x:f>L22-M22-N22</x:f>
        <x:v>0</x:v>
      </x:c>
      <x:c r="P22" s="492" t="n">
        <x:f>G22*K22*(1-J22)</x:f>
        <x:v>0</x:v>
      </x:c>
      <x:c r="Q22" s="492" t="n">
        <x:f>O22-P22</x:f>
        <x:v>0</x:v>
      </x:c>
      <x:c r="R22" s="490" t="n">
        <x:f>IF(O22=0,0,Q22/O22)</x:f>
        <x:v>0</x:v>
      </x:c>
      <x:c r="S22" s="488" t="str">
        <x:f>IF(J22=1,"退款",IF(I22&gt;=0.2,"高折扣","正常"))</x:f>
        <x:v>退款</x:v>
      </x:c>
    </x:row>
    <x:row r="23">
      <x:c r="A23" s="486" t="n">
        <x:f>'原始订单'!A23</x:f>
        <x:v>46154</x:v>
      </x:c>
      <x:c r="B23" s="487" t="n">
        <x:f>DATE(YEAR(A23),MONTH(A23),1)</x:f>
        <x:v>46143</x:v>
      </x:c>
      <x:c r="C23" s="488" t="str">
        <x:f>'原始订单'!B23</x:f>
        <x:v>D20260019</x:v>
      </x:c>
      <x:c r="D23" s="488" t="str">
        <x:f>'原始订单'!C23</x:f>
        <x:v>C1107</x:v>
      </x:c>
      <x:c r="E23" s="488" t="str">
        <x:f>'原始订单'!D23</x:f>
        <x:v>抖音广告</x:v>
      </x:c>
      <x:c r="F23" s="488" t="str">
        <x:f>'原始订单'!E23</x:f>
        <x:v>轻量旅行杯</x:v>
      </x:c>
      <x:c r="G23" s="489" t="n">
        <x:f>'原始订单'!F23</x:f>
        <x:v>3</x:v>
      </x:c>
      <x:c r="H23" s="489" t="n">
        <x:f>'原始订单'!G23</x:f>
        <x:v>129</x:v>
      </x:c>
      <x:c r="I23" s="490" t="n">
        <x:f>'原始订单'!H23</x:f>
        <x:v>0.05</x:v>
      </x:c>
      <x:c r="J23" s="491" t="n">
        <x:f>'原始订单'!I23</x:f>
        <x:v>0</x:v>
      </x:c>
      <x:c r="K23" s="492" t="n">
        <x:f>'原始订单'!J23</x:f>
        <x:v>48</x:v>
      </x:c>
      <x:c r="L23" s="492" t="n">
        <x:f>G23*H23</x:f>
        <x:v>387</x:v>
      </x:c>
      <x:c r="M23" s="492" t="n">
        <x:f>L23*I23</x:f>
        <x:v>19.35</x:v>
      </x:c>
      <x:c r="N23" s="492" t="n">
        <x:f>(L23-M23)*J23</x:f>
        <x:v>0</x:v>
      </x:c>
      <x:c r="O23" s="492" t="n">
        <x:f>L23-M23-N23</x:f>
        <x:v>367.65</x:v>
      </x:c>
      <x:c r="P23" s="492" t="n">
        <x:f>G23*K23*(1-J23)</x:f>
        <x:v>144</x:v>
      </x:c>
      <x:c r="Q23" s="492" t="n">
        <x:f>O23-P23</x:f>
        <x:v>223.64999999999998</x:v>
      </x:c>
      <x:c r="R23" s="490" t="n">
        <x:f>IF(O23=0,0,Q23/O23)</x:f>
        <x:v>0.6083231334149326</x:v>
      </x:c>
      <x:c r="S23" s="488" t="str">
        <x:f>IF(J23=1,"退款",IF(I23&gt;=0.2,"高折扣","正常"))</x:f>
        <x:v>正常</x:v>
      </x:c>
    </x:row>
    <x:row r="24">
      <x:c r="A24" s="486" t="n">
        <x:f>'原始订单'!A24</x:f>
        <x:v>46155</x:v>
      </x:c>
      <x:c r="B24" s="487" t="n">
        <x:f>DATE(YEAR(A24),MONTH(A24),1)</x:f>
        <x:v>46143</x:v>
      </x:c>
      <x:c r="C24" s="488" t="str">
        <x:f>'原始订单'!B24</x:f>
        <x:v>D20260020</x:v>
      </x:c>
      <x:c r="D24" s="488" t="str">
        <x:f>'原始订单'!C24</x:f>
        <x:v>C1054</x:v>
      </x:c>
      <x:c r="E24" s="488" t="str">
        <x:f>'原始订单'!D24</x:f>
        <x:v>自然搜索</x:v>
      </x:c>
      <x:c r="F24" s="488" t="str">
        <x:f>'原始订单'!E24</x:f>
        <x:v>便携补光灯</x:v>
      </x:c>
      <x:c r="G24" s="489" t="n">
        <x:f>'原始订单'!F24</x:f>
        <x:v>1</x:v>
      </x:c>
      <x:c r="H24" s="489" t="n">
        <x:f>'原始订单'!G24</x:f>
        <x:v>159</x:v>
      </x:c>
      <x:c r="I24" s="490" t="n">
        <x:f>'原始订单'!H24</x:f>
        <x:v>0.05</x:v>
      </x:c>
      <x:c r="J24" s="491" t="n">
        <x:f>'原始订单'!I24</x:f>
        <x:v>0</x:v>
      </x:c>
      <x:c r="K24" s="492" t="n">
        <x:f>'原始订单'!J24</x:f>
        <x:v>72</x:v>
      </x:c>
      <x:c r="L24" s="492" t="n">
        <x:f>G24*H24</x:f>
        <x:v>159</x:v>
      </x:c>
      <x:c r="M24" s="492" t="n">
        <x:f>L24*I24</x:f>
        <x:v>7.95</x:v>
      </x:c>
      <x:c r="N24" s="492" t="n">
        <x:f>(L24-M24)*J24</x:f>
        <x:v>0</x:v>
      </x:c>
      <x:c r="O24" s="492" t="n">
        <x:f>L24-M24-N24</x:f>
        <x:v>151.05</x:v>
      </x:c>
      <x:c r="P24" s="492" t="n">
        <x:f>G24*K24*(1-J24)</x:f>
        <x:v>72</x:v>
      </x:c>
      <x:c r="Q24" s="492" t="n">
        <x:f>O24-P24</x:f>
        <x:v>79.05000000000001</x:v>
      </x:c>
      <x:c r="R24" s="490" t="n">
        <x:f>IF(O24=0,0,Q24/O24)</x:f>
        <x:v>0.5233366434955313</x:v>
      </x:c>
      <x:c r="S24" s="488" t="str">
        <x:f>IF(J24=1,"退款",IF(I24&gt;=0.2,"高折扣","正常"))</x:f>
        <x:v>正常</x:v>
      </x:c>
    </x:row>
    <x:row r="25">
      <x:c r="A25" s="486" t="n">
        <x:f>'原始订单'!A25</x:f>
        <x:v>46156</x:v>
      </x:c>
      <x:c r="B25" s="487" t="n">
        <x:f>DATE(YEAR(A25),MONTH(A25),1)</x:f>
        <x:v>46143</x:v>
      </x:c>
      <x:c r="C25" s="488" t="str">
        <x:f>'原始订单'!B25</x:f>
        <x:v>D20260021</x:v>
      </x:c>
      <x:c r="D25" s="488" t="str">
        <x:f>'原始订单'!C25</x:f>
        <x:v>C1015</x:v>
      </x:c>
      <x:c r="E25" s="488" t="str">
        <x:f>'原始订单'!D25</x:f>
        <x:v>老客复购</x:v>
      </x:c>
      <x:c r="F25" s="488" t="str">
        <x:f>'原始订单'!E25</x:f>
        <x:v>桌面收纳架</x:v>
      </x:c>
      <x:c r="G25" s="489" t="n">
        <x:f>'原始订单'!F25</x:f>
        <x:v>2</x:v>
      </x:c>
      <x:c r="H25" s="489" t="n">
        <x:f>'原始订单'!G25</x:f>
        <x:v>89</x:v>
      </x:c>
      <x:c r="I25" s="490" t="n">
        <x:f>'原始订单'!H25</x:f>
        <x:v>0</x:v>
      </x:c>
      <x:c r="J25" s="491" t="n">
        <x:f>'原始订单'!I25</x:f>
        <x:v>0</x:v>
      </x:c>
      <x:c r="K25" s="492" t="n">
        <x:f>'原始订单'!J25</x:f>
        <x:v>32</x:v>
      </x:c>
      <x:c r="L25" s="492" t="n">
        <x:f>G25*H25</x:f>
        <x:v>178</x:v>
      </x:c>
      <x:c r="M25" s="492" t="n">
        <x:f>L25*I25</x:f>
        <x:v>0</x:v>
      </x:c>
      <x:c r="N25" s="492" t="n">
        <x:f>(L25-M25)*J25</x:f>
        <x:v>0</x:v>
      </x:c>
      <x:c r="O25" s="492" t="n">
        <x:f>L25-M25-N25</x:f>
        <x:v>178</x:v>
      </x:c>
      <x:c r="P25" s="492" t="n">
        <x:f>G25*K25*(1-J25)</x:f>
        <x:v>64</x:v>
      </x:c>
      <x:c r="Q25" s="492" t="n">
        <x:f>O25-P25</x:f>
        <x:v>114</x:v>
      </x:c>
      <x:c r="R25" s="490" t="n">
        <x:f>IF(O25=0,0,Q25/O25)</x:f>
        <x:v>0.6404494382022472</x:v>
      </x:c>
      <x:c r="S25" s="488" t="str">
        <x:f>IF(J25=1,"退款",IF(I25&gt;=0.2,"高折扣","正常"))</x:f>
        <x:v>正常</x:v>
      </x:c>
    </x:row>
    <x:row r="26">
      <x:c r="A26" s="486" t="n">
        <x:f>'原始订单'!A26</x:f>
        <x:v>46156</x:v>
      </x:c>
      <x:c r="B26" s="487" t="n">
        <x:f>DATE(YEAR(A26),MONTH(A26),1)</x:f>
        <x:v>46143</x:v>
      </x:c>
      <x:c r="C26" s="488" t="str">
        <x:f>'原始订单'!B26</x:f>
        <x:v>D20260022</x:v>
      </x:c>
      <x:c r="D26" s="488" t="str">
        <x:f>'原始订单'!C26</x:f>
        <x:v>C1060</x:v>
      </x:c>
      <x:c r="E26" s="488" t="str">
        <x:f>'原始订单'!D26</x:f>
        <x:v>自然搜索</x:v>
      </x:c>
      <x:c r="F26" s="488" t="str">
        <x:f>'原始订单'!E26</x:f>
        <x:v>桌面收纳架</x:v>
      </x:c>
      <x:c r="G26" s="489" t="n">
        <x:f>'原始订单'!F26</x:f>
        <x:v>1</x:v>
      </x:c>
      <x:c r="H26" s="489" t="n">
        <x:f>'原始订单'!G26</x:f>
        <x:v>89</x:v>
      </x:c>
      <x:c r="I26" s="490" t="n">
        <x:f>'原始订单'!H26</x:f>
        <x:v>0.05</x:v>
      </x:c>
      <x:c r="J26" s="491" t="n">
        <x:f>'原始订单'!I26</x:f>
        <x:v>0</x:v>
      </x:c>
      <x:c r="K26" s="492" t="n">
        <x:f>'原始订单'!J26</x:f>
        <x:v>32</x:v>
      </x:c>
      <x:c r="L26" s="492" t="n">
        <x:f>G26*H26</x:f>
        <x:v>89</x:v>
      </x:c>
      <x:c r="M26" s="492" t="n">
        <x:f>L26*I26</x:f>
        <x:v>4.45</x:v>
      </x:c>
      <x:c r="N26" s="492" t="n">
        <x:f>(L26-M26)*J26</x:f>
        <x:v>0</x:v>
      </x:c>
      <x:c r="O26" s="492" t="n">
        <x:f>L26-M26-N26</x:f>
        <x:v>84.55</x:v>
      </x:c>
      <x:c r="P26" s="492" t="n">
        <x:f>G26*K26*(1-J26)</x:f>
        <x:v>32</x:v>
      </x:c>
      <x:c r="Q26" s="492" t="n">
        <x:f>O26-P26</x:f>
        <x:v>52.55</x:v>
      </x:c>
      <x:c r="R26" s="490" t="n">
        <x:f>IF(O26=0,0,Q26/O26)</x:f>
        <x:v>0.6215257244234181</x:v>
      </x:c>
      <x:c r="S26" s="488" t="str">
        <x:f>IF(J26=1,"退款",IF(I26&gt;=0.2,"高折扣","正常"))</x:f>
        <x:v>正常</x:v>
      </x:c>
    </x:row>
    <x:row r="27">
      <x:c r="A27" s="486" t="n">
        <x:f>'原始订单'!A27</x:f>
        <x:v>46156</x:v>
      </x:c>
      <x:c r="B27" s="487" t="n">
        <x:f>DATE(YEAR(A27),MONTH(A27),1)</x:f>
        <x:v>46143</x:v>
      </x:c>
      <x:c r="C27" s="488" t="str">
        <x:f>'原始订单'!B27</x:f>
        <x:v>D20260023</x:v>
      </x:c>
      <x:c r="D27" s="488" t="str">
        <x:f>'原始订单'!C27</x:f>
        <x:v>C1030</x:v>
      </x:c>
      <x:c r="E27" s="488" t="str">
        <x:f>'原始订单'!D27</x:f>
        <x:v>老客复购</x:v>
      </x:c>
      <x:c r="F27" s="488" t="str">
        <x:f>'原始订单'!E27</x:f>
        <x:v>无线标签机</x:v>
      </x:c>
      <x:c r="G27" s="489" t="n">
        <x:f>'原始订单'!F27</x:f>
        <x:v>1</x:v>
      </x:c>
      <x:c r="H27" s="489" t="n">
        <x:f>'原始订单'!G27</x:f>
        <x:v>239</x:v>
      </x:c>
      <x:c r="I27" s="490" t="n">
        <x:f>'原始订单'!H27</x:f>
        <x:v>0.05</x:v>
      </x:c>
      <x:c r="J27" s="491" t="n">
        <x:f>'原始订单'!I27</x:f>
        <x:v>0</x:v>
      </x:c>
      <x:c r="K27" s="492" t="n">
        <x:f>'原始订单'!J27</x:f>
        <x:v>118</x:v>
      </x:c>
      <x:c r="L27" s="492" t="n">
        <x:f>G27*H27</x:f>
        <x:v>239</x:v>
      </x:c>
      <x:c r="M27" s="492" t="n">
        <x:f>L27*I27</x:f>
        <x:v>11.950000000000001</x:v>
      </x:c>
      <x:c r="N27" s="492" t="n">
        <x:f>(L27-M27)*J27</x:f>
        <x:v>0</x:v>
      </x:c>
      <x:c r="O27" s="492" t="n">
        <x:f>L27-M27-N27</x:f>
        <x:v>227.05</x:v>
      </x:c>
      <x:c r="P27" s="492" t="n">
        <x:f>G27*K27*(1-J27)</x:f>
        <x:v>118</x:v>
      </x:c>
      <x:c r="Q27" s="492" t="n">
        <x:f>O27-P27</x:f>
        <x:v>109.05000000000001</x:v>
      </x:c>
      <x:c r="R27" s="490" t="n">
        <x:f>IF(O27=0,0,Q27/O27)</x:f>
        <x:v>0.48029068487117377</x:v>
      </x:c>
      <x:c r="S27" s="488" t="str">
        <x:f>IF(J27=1,"退款",IF(I27&gt;=0.2,"高折扣","正常"))</x:f>
        <x:v>正常</x:v>
      </x:c>
    </x:row>
    <x:row r="28">
      <x:c r="A28" s="486" t="n">
        <x:f>'原始订单'!A28</x:f>
        <x:v>46157</x:v>
      </x:c>
      <x:c r="B28" s="487" t="n">
        <x:f>DATE(YEAR(A28),MONTH(A28),1)</x:f>
        <x:v>46143</x:v>
      </x:c>
      <x:c r="C28" s="488" t="str">
        <x:f>'原始订单'!B28</x:f>
        <x:v>D20260024</x:v>
      </x:c>
      <x:c r="D28" s="488" t="str">
        <x:f>'原始订单'!C28</x:f>
        <x:v>C1043</x:v>
      </x:c>
      <x:c r="E28" s="488" t="str">
        <x:f>'原始订单'!D28</x:f>
        <x:v>自然搜索</x:v>
      </x:c>
      <x:c r="F28" s="488" t="str">
        <x:f>'原始订单'!E28</x:f>
        <x:v>便携补光灯</x:v>
      </x:c>
      <x:c r="G28" s="489" t="n">
        <x:f>'原始订单'!F28</x:f>
        <x:v>1</x:v>
      </x:c>
      <x:c r="H28" s="489" t="n">
        <x:f>'原始订单'!G28</x:f>
        <x:v>159</x:v>
      </x:c>
      <x:c r="I28" s="490" t="n">
        <x:f>'原始订单'!H28</x:f>
        <x:v>0.05</x:v>
      </x:c>
      <x:c r="J28" s="491" t="n">
        <x:f>'原始订单'!I28</x:f>
        <x:v>0</x:v>
      </x:c>
      <x:c r="K28" s="492" t="n">
        <x:f>'原始订单'!J28</x:f>
        <x:v>72</x:v>
      </x:c>
      <x:c r="L28" s="492" t="n">
        <x:f>G28*H28</x:f>
        <x:v>159</x:v>
      </x:c>
      <x:c r="M28" s="492" t="n">
        <x:f>L28*I28</x:f>
        <x:v>7.95</x:v>
      </x:c>
      <x:c r="N28" s="492" t="n">
        <x:f>(L28-M28)*J28</x:f>
        <x:v>0</x:v>
      </x:c>
      <x:c r="O28" s="492" t="n">
        <x:f>L28-M28-N28</x:f>
        <x:v>151.05</x:v>
      </x:c>
      <x:c r="P28" s="492" t="n">
        <x:f>G28*K28*(1-J28)</x:f>
        <x:v>72</x:v>
      </x:c>
      <x:c r="Q28" s="492" t="n">
        <x:f>O28-P28</x:f>
        <x:v>79.05000000000001</x:v>
      </x:c>
      <x:c r="R28" s="490" t="n">
        <x:f>IF(O28=0,0,Q28/O28)</x:f>
        <x:v>0.5233366434955313</x:v>
      </x:c>
      <x:c r="S28" s="488" t="str">
        <x:f>IF(J28=1,"退款",IF(I28&gt;=0.2,"高折扣","正常"))</x:f>
        <x:v>正常</x:v>
      </x:c>
    </x:row>
    <x:row r="29">
      <x:c r="A29" s="486" t="n">
        <x:f>'原始订单'!A29</x:f>
        <x:v>46157</x:v>
      </x:c>
      <x:c r="B29" s="487" t="n">
        <x:f>DATE(YEAR(A29),MONTH(A29),1)</x:f>
        <x:v>46143</x:v>
      </x:c>
      <x:c r="C29" s="488" t="str">
        <x:f>'原始订单'!B29</x:f>
        <x:v>D20260025</x:v>
      </x:c>
      <x:c r="D29" s="488" t="str">
        <x:f>'原始订单'!C29</x:f>
        <x:v>C1040</x:v>
      </x:c>
      <x:c r="E29" s="488" t="str">
        <x:f>'原始订单'!D29</x:f>
        <x:v>自然搜索</x:v>
      </x:c>
      <x:c r="F29" s="488" t="str">
        <x:f>'原始订单'!E29</x:f>
        <x:v>轻量旅行杯</x:v>
      </x:c>
      <x:c r="G29" s="489" t="n">
        <x:f>'原始订单'!F29</x:f>
        <x:v>1</x:v>
      </x:c>
      <x:c r="H29" s="489" t="n">
        <x:f>'原始订单'!G29</x:f>
        <x:v>129</x:v>
      </x:c>
      <x:c r="I29" s="490" t="n">
        <x:f>'原始订单'!H29</x:f>
        <x:v>0.05</x:v>
      </x:c>
      <x:c r="J29" s="491" t="n">
        <x:f>'原始订单'!I29</x:f>
        <x:v>0</x:v>
      </x:c>
      <x:c r="K29" s="492" t="n">
        <x:f>'原始订单'!J29</x:f>
        <x:v>48</x:v>
      </x:c>
      <x:c r="L29" s="492" t="n">
        <x:f>G29*H29</x:f>
        <x:v>129</x:v>
      </x:c>
      <x:c r="M29" s="492" t="n">
        <x:f>L29*I29</x:f>
        <x:v>6.45</x:v>
      </x:c>
      <x:c r="N29" s="492" t="n">
        <x:f>(L29-M29)*J29</x:f>
        <x:v>0</x:v>
      </x:c>
      <x:c r="O29" s="492" t="n">
        <x:f>L29-M29-N29</x:f>
        <x:v>122.55</x:v>
      </x:c>
      <x:c r="P29" s="492" t="n">
        <x:f>G29*K29*(1-J29)</x:f>
        <x:v>48</x:v>
      </x:c>
      <x:c r="Q29" s="492" t="n">
        <x:f>O29-P29</x:f>
        <x:v>74.55</x:v>
      </x:c>
      <x:c r="R29" s="490" t="n">
        <x:f>IF(O29=0,0,Q29/O29)</x:f>
        <x:v>0.6083231334149327</x:v>
      </x:c>
      <x:c r="S29" s="488" t="str">
        <x:f>IF(J29=1,"退款",IF(I29&gt;=0.2,"高折扣","正常"))</x:f>
        <x:v>正常</x:v>
      </x:c>
    </x:row>
    <x:row r="30">
      <x:c r="A30" s="486" t="n">
        <x:f>'原始订单'!A30</x:f>
        <x:v>46157</x:v>
      </x:c>
      <x:c r="B30" s="487" t="n">
        <x:f>DATE(YEAR(A30),MONTH(A30),1)</x:f>
        <x:v>46143</x:v>
      </x:c>
      <x:c r="C30" s="488" t="str">
        <x:f>'原始订单'!B30</x:f>
        <x:v>D20260026</x:v>
      </x:c>
      <x:c r="D30" s="488" t="str">
        <x:f>'原始订单'!C30</x:f>
        <x:v>C1110</x:v>
      </x:c>
      <x:c r="E30" s="488" t="str">
        <x:f>'原始订单'!D30</x:f>
        <x:v>抖音广告</x:v>
      </x:c>
      <x:c r="F30" s="488" t="str">
        <x:f>'原始订单'!E30</x:f>
        <x:v>无线标签机</x:v>
      </x:c>
      <x:c r="G30" s="489" t="n">
        <x:f>'原始订单'!F30</x:f>
        <x:v>1</x:v>
      </x:c>
      <x:c r="H30" s="489" t="n">
        <x:f>'原始订单'!G30</x:f>
        <x:v>239</x:v>
      </x:c>
      <x:c r="I30" s="490" t="n">
        <x:f>'原始订单'!H30</x:f>
        <x:v>0.05</x:v>
      </x:c>
      <x:c r="J30" s="491" t="n">
        <x:f>'原始订单'!I30</x:f>
        <x:v>0</x:v>
      </x:c>
      <x:c r="K30" s="492" t="n">
        <x:f>'原始订单'!J30</x:f>
        <x:v>118</x:v>
      </x:c>
      <x:c r="L30" s="492" t="n">
        <x:f>G30*H30</x:f>
        <x:v>239</x:v>
      </x:c>
      <x:c r="M30" s="492" t="n">
        <x:f>L30*I30</x:f>
        <x:v>11.950000000000001</x:v>
      </x:c>
      <x:c r="N30" s="492" t="n">
        <x:f>(L30-M30)*J30</x:f>
        <x:v>0</x:v>
      </x:c>
      <x:c r="O30" s="492" t="n">
        <x:f>L30-M30-N30</x:f>
        <x:v>227.05</x:v>
      </x:c>
      <x:c r="P30" s="492" t="n">
        <x:f>G30*K30*(1-J30)</x:f>
        <x:v>118</x:v>
      </x:c>
      <x:c r="Q30" s="492" t="n">
        <x:f>O30-P30</x:f>
        <x:v>109.05000000000001</x:v>
      </x:c>
      <x:c r="R30" s="490" t="n">
        <x:f>IF(O30=0,0,Q30/O30)</x:f>
        <x:v>0.48029068487117377</x:v>
      </x:c>
      <x:c r="S30" s="488" t="str">
        <x:f>IF(J30=1,"退款",IF(I30&gt;=0.2,"高折扣","正常"))</x:f>
        <x:v>正常</x:v>
      </x:c>
    </x:row>
    <x:row r="31">
      <x:c r="A31" s="486" t="n">
        <x:f>'原始订单'!A31</x:f>
        <x:v>46157</x:v>
      </x:c>
      <x:c r="B31" s="487" t="n">
        <x:f>DATE(YEAR(A31),MONTH(A31),1)</x:f>
        <x:v>46143</x:v>
      </x:c>
      <x:c r="C31" s="488" t="str">
        <x:f>'原始订单'!B31</x:f>
        <x:v>D20260027</x:v>
      </x:c>
      <x:c r="D31" s="488" t="str">
        <x:f>'原始订单'!C31</x:f>
        <x:v>C1048</x:v>
      </x:c>
      <x:c r="E31" s="488" t="str">
        <x:f>'原始订单'!D31</x:f>
        <x:v>抖音广告</x:v>
      </x:c>
      <x:c r="F31" s="488" t="str">
        <x:f>'原始订单'!E31</x:f>
        <x:v>桌面收纳架</x:v>
      </x:c>
      <x:c r="G31" s="489" t="n">
        <x:f>'原始订单'!F31</x:f>
        <x:v>2</x:v>
      </x:c>
      <x:c r="H31" s="489" t="n">
        <x:f>'原始订单'!G31</x:f>
        <x:v>89</x:v>
      </x:c>
      <x:c r="I31" s="490" t="n">
        <x:f>'原始订单'!H31</x:f>
        <x:v>0.05</x:v>
      </x:c>
      <x:c r="J31" s="491" t="n">
        <x:f>'原始订单'!I31</x:f>
        <x:v>0</x:v>
      </x:c>
      <x:c r="K31" s="492" t="n">
        <x:f>'原始订单'!J31</x:f>
        <x:v>32</x:v>
      </x:c>
      <x:c r="L31" s="492" t="n">
        <x:f>G31*H31</x:f>
        <x:v>178</x:v>
      </x:c>
      <x:c r="M31" s="492" t="n">
        <x:f>L31*I31</x:f>
        <x:v>8.9</x:v>
      </x:c>
      <x:c r="N31" s="492" t="n">
        <x:f>(L31-M31)*J31</x:f>
        <x:v>0</x:v>
      </x:c>
      <x:c r="O31" s="492" t="n">
        <x:f>L31-M31-N31</x:f>
        <x:v>169.1</x:v>
      </x:c>
      <x:c r="P31" s="492" t="n">
        <x:f>G31*K31*(1-J31)</x:f>
        <x:v>64</x:v>
      </x:c>
      <x:c r="Q31" s="492" t="n">
        <x:f>O31-P31</x:f>
        <x:v>105.1</x:v>
      </x:c>
      <x:c r="R31" s="490" t="n">
        <x:f>IF(O31=0,0,Q31/O31)</x:f>
        <x:v>0.6215257244234181</x:v>
      </x:c>
      <x:c r="S31" s="488" t="str">
        <x:f>IF(J31=1,"退款",IF(I31&gt;=0.2,"高折扣","正常"))</x:f>
        <x:v>正常</x:v>
      </x:c>
    </x:row>
    <x:row r="32">
      <x:c r="A32" s="486" t="n">
        <x:f>'原始订单'!A32</x:f>
        <x:v>46157</x:v>
      </x:c>
      <x:c r="B32" s="487" t="n">
        <x:f>DATE(YEAR(A32),MONTH(A32),1)</x:f>
        <x:v>46143</x:v>
      </x:c>
      <x:c r="C32" s="488" t="str">
        <x:f>'原始订单'!B32</x:f>
        <x:v>D20260028</x:v>
      </x:c>
      <x:c r="D32" s="488" t="str">
        <x:f>'原始订单'!C32</x:f>
        <x:v>C1026</x:v>
      </x:c>
      <x:c r="E32" s="488" t="str">
        <x:f>'原始订单'!D32</x:f>
        <x:v>老客复购</x:v>
      </x:c>
      <x:c r="F32" s="488" t="str">
        <x:f>'原始订单'!E32</x:f>
        <x:v>轻量旅行杯</x:v>
      </x:c>
      <x:c r="G32" s="489" t="n">
        <x:f>'原始订单'!F32</x:f>
        <x:v>1</x:v>
      </x:c>
      <x:c r="H32" s="489" t="n">
        <x:f>'原始订单'!G32</x:f>
        <x:v>129</x:v>
      </x:c>
      <x:c r="I32" s="490" t="n">
        <x:f>'原始订单'!H32</x:f>
        <x:v>0</x:v>
      </x:c>
      <x:c r="J32" s="491" t="n">
        <x:f>'原始订单'!I32</x:f>
        <x:v>0</x:v>
      </x:c>
      <x:c r="K32" s="492" t="n">
        <x:f>'原始订单'!J32</x:f>
        <x:v>48</x:v>
      </x:c>
      <x:c r="L32" s="492" t="n">
        <x:f>G32*H32</x:f>
        <x:v>129</x:v>
      </x:c>
      <x:c r="M32" s="492" t="n">
        <x:f>L32*I32</x:f>
        <x:v>0</x:v>
      </x:c>
      <x:c r="N32" s="492" t="n">
        <x:f>(L32-M32)*J32</x:f>
        <x:v>0</x:v>
      </x:c>
      <x:c r="O32" s="492" t="n">
        <x:f>L32-M32-N32</x:f>
        <x:v>129</x:v>
      </x:c>
      <x:c r="P32" s="492" t="n">
        <x:f>G32*K32*(1-J32)</x:f>
        <x:v>48</x:v>
      </x:c>
      <x:c r="Q32" s="492" t="n">
        <x:f>O32-P32</x:f>
        <x:v>81</x:v>
      </x:c>
      <x:c r="R32" s="490" t="n">
        <x:f>IF(O32=0,0,Q32/O32)</x:f>
        <x:v>0.627906976744186</x:v>
      </x:c>
      <x:c r="S32" s="488" t="str">
        <x:f>IF(J32=1,"退款",IF(I32&gt;=0.2,"高折扣","正常"))</x:f>
        <x:v>正常</x:v>
      </x:c>
    </x:row>
    <x:row r="33">
      <x:c r="A33" s="486" t="n">
        <x:f>'原始订单'!A33</x:f>
        <x:v>46157</x:v>
      </x:c>
      <x:c r="B33" s="487" t="n">
        <x:f>DATE(YEAR(A33),MONTH(A33),1)</x:f>
        <x:v>46143</x:v>
      </x:c>
      <x:c r="C33" s="488" t="str">
        <x:f>'原始订单'!B33</x:f>
        <x:v>D20260029</x:v>
      </x:c>
      <x:c r="D33" s="488" t="str">
        <x:f>'原始订单'!C33</x:f>
        <x:v>C1134</x:v>
      </x:c>
      <x:c r="E33" s="488" t="str">
        <x:f>'原始订单'!D33</x:f>
        <x:v>抖音广告</x:v>
      </x:c>
      <x:c r="F33" s="488" t="str">
        <x:f>'原始订单'!E33</x:f>
        <x:v>便携补光灯</x:v>
      </x:c>
      <x:c r="G33" s="489" t="n">
        <x:f>'原始订单'!F33</x:f>
        <x:v>2</x:v>
      </x:c>
      <x:c r="H33" s="489" t="n">
        <x:f>'原始订单'!G33</x:f>
        <x:v>159</x:v>
      </x:c>
      <x:c r="I33" s="490" t="n">
        <x:f>'原始订单'!H33</x:f>
        <x:v>0.05</x:v>
      </x:c>
      <x:c r="J33" s="491" t="n">
        <x:f>'原始订单'!I33</x:f>
        <x:v>0</x:v>
      </x:c>
      <x:c r="K33" s="492" t="n">
        <x:f>'原始订单'!J33</x:f>
        <x:v>72</x:v>
      </x:c>
      <x:c r="L33" s="492" t="n">
        <x:f>G33*H33</x:f>
        <x:v>318</x:v>
      </x:c>
      <x:c r="M33" s="492" t="n">
        <x:f>L33*I33</x:f>
        <x:v>15.9</x:v>
      </x:c>
      <x:c r="N33" s="492" t="n">
        <x:f>(L33-M33)*J33</x:f>
        <x:v>0</x:v>
      </x:c>
      <x:c r="O33" s="492" t="n">
        <x:f>L33-M33-N33</x:f>
        <x:v>302.1</x:v>
      </x:c>
      <x:c r="P33" s="492" t="n">
        <x:f>G33*K33*(1-J33)</x:f>
        <x:v>144</x:v>
      </x:c>
      <x:c r="Q33" s="492" t="n">
        <x:f>O33-P33</x:f>
        <x:v>158.10000000000002</x:v>
      </x:c>
      <x:c r="R33" s="490" t="n">
        <x:f>IF(O33=0,0,Q33/O33)</x:f>
        <x:v>0.5233366434955313</x:v>
      </x:c>
      <x:c r="S33" s="488" t="str">
        <x:f>IF(J33=1,"退款",IF(I33&gt;=0.2,"高折扣","正常"))</x:f>
        <x:v>正常</x:v>
      </x:c>
    </x:row>
    <x:row r="34">
      <x:c r="A34" s="486" t="n">
        <x:f>'原始订单'!A34</x:f>
        <x:v>46159</x:v>
      </x:c>
      <x:c r="B34" s="487" t="n">
        <x:f>DATE(YEAR(A34),MONTH(A34),1)</x:f>
        <x:v>46143</x:v>
      </x:c>
      <x:c r="C34" s="488" t="str">
        <x:f>'原始订单'!B34</x:f>
        <x:v>D20260030</x:v>
      </x:c>
      <x:c r="D34" s="488" t="str">
        <x:f>'原始订单'!C34</x:f>
        <x:v>C1017</x:v>
      </x:c>
      <x:c r="E34" s="488" t="str">
        <x:f>'原始订单'!D34</x:f>
        <x:v>抖音广告</x:v>
      </x:c>
      <x:c r="F34" s="488" t="str">
        <x:f>'原始订单'!E34</x:f>
        <x:v>桌面收纳架</x:v>
      </x:c>
      <x:c r="G34" s="489" t="n">
        <x:f>'原始订单'!F34</x:f>
        <x:v>1</x:v>
      </x:c>
      <x:c r="H34" s="489" t="n">
        <x:f>'原始订单'!G34</x:f>
        <x:v>89</x:v>
      </x:c>
      <x:c r="I34" s="490" t="n">
        <x:f>'原始订单'!H34</x:f>
        <x:v>0.2</x:v>
      </x:c>
      <x:c r="J34" s="491" t="n">
        <x:f>'原始订单'!I34</x:f>
        <x:v>0</x:v>
      </x:c>
      <x:c r="K34" s="492" t="n">
        <x:f>'原始订单'!J34</x:f>
        <x:v>32</x:v>
      </x:c>
      <x:c r="L34" s="492" t="n">
        <x:f>G34*H34</x:f>
        <x:v>89</x:v>
      </x:c>
      <x:c r="M34" s="492" t="n">
        <x:f>L34*I34</x:f>
        <x:v>17.8</x:v>
      </x:c>
      <x:c r="N34" s="492" t="n">
        <x:f>(L34-M34)*J34</x:f>
        <x:v>0</x:v>
      </x:c>
      <x:c r="O34" s="492" t="n">
        <x:f>L34-M34-N34</x:f>
        <x:v>71.2</x:v>
      </x:c>
      <x:c r="P34" s="492" t="n">
        <x:f>G34*K34*(1-J34)</x:f>
        <x:v>32</x:v>
      </x:c>
      <x:c r="Q34" s="492" t="n">
        <x:f>O34-P34</x:f>
        <x:v>39.2</x:v>
      </x:c>
      <x:c r="R34" s="490" t="n">
        <x:f>IF(O34=0,0,Q34/O34)</x:f>
        <x:v>0.550561797752809</x:v>
      </x:c>
      <x:c r="S34" s="488" t="str">
        <x:f>IF(J34=1,"退款",IF(I34&gt;=0.2,"高折扣","正常"))</x:f>
        <x:v>高折扣</x:v>
      </x:c>
    </x:row>
    <x:row r="35">
      <x:c r="A35" s="486" t="n">
        <x:f>'原始订单'!A35</x:f>
        <x:v>46159</x:v>
      </x:c>
      <x:c r="B35" s="487" t="n">
        <x:f>DATE(YEAR(A35),MONTH(A35),1)</x:f>
        <x:v>46143</x:v>
      </x:c>
      <x:c r="C35" s="488" t="str">
        <x:f>'原始订单'!B35</x:f>
        <x:v>D20260031</x:v>
      </x:c>
      <x:c r="D35" s="488" t="str">
        <x:f>'原始订单'!C35</x:f>
        <x:v>C1024</x:v>
      </x:c>
      <x:c r="E35" s="488" t="str">
        <x:f>'原始订单'!D35</x:f>
        <x:v>老客复购</x:v>
      </x:c>
      <x:c r="F35" s="488" t="str">
        <x:f>'原始订单'!E35</x:f>
        <x:v>桌面收纳架</x:v>
      </x:c>
      <x:c r="G35" s="489" t="n">
        <x:f>'原始订单'!F35</x:f>
        <x:v>1</x:v>
      </x:c>
      <x:c r="H35" s="489" t="n">
        <x:f>'原始订单'!G35</x:f>
        <x:v>89</x:v>
      </x:c>
      <x:c r="I35" s="490" t="n">
        <x:f>'原始订单'!H35</x:f>
        <x:v>0.05</x:v>
      </x:c>
      <x:c r="J35" s="491" t="n">
        <x:f>'原始订单'!I35</x:f>
        <x:v>0</x:v>
      </x:c>
      <x:c r="K35" s="492" t="n">
        <x:f>'原始订单'!J35</x:f>
        <x:v>32</x:v>
      </x:c>
      <x:c r="L35" s="492" t="n">
        <x:f>G35*H35</x:f>
        <x:v>89</x:v>
      </x:c>
      <x:c r="M35" s="492" t="n">
        <x:f>L35*I35</x:f>
        <x:v>4.45</x:v>
      </x:c>
      <x:c r="N35" s="492" t="n">
        <x:f>(L35-M35)*J35</x:f>
        <x:v>0</x:v>
      </x:c>
      <x:c r="O35" s="492" t="n">
        <x:f>L35-M35-N35</x:f>
        <x:v>84.55</x:v>
      </x:c>
      <x:c r="P35" s="492" t="n">
        <x:f>G35*K35*(1-J35)</x:f>
        <x:v>32</x:v>
      </x:c>
      <x:c r="Q35" s="492" t="n">
        <x:f>O35-P35</x:f>
        <x:v>52.55</x:v>
      </x:c>
      <x:c r="R35" s="490" t="n">
        <x:f>IF(O35=0,0,Q35/O35)</x:f>
        <x:v>0.6215257244234181</x:v>
      </x:c>
      <x:c r="S35" s="488" t="str">
        <x:f>IF(J35=1,"退款",IF(I35&gt;=0.2,"高折扣","正常"))</x:f>
        <x:v>正常</x:v>
      </x:c>
    </x:row>
    <x:row r="36">
      <x:c r="A36" s="486" t="n">
        <x:f>'原始订单'!A36</x:f>
        <x:v>46159</x:v>
      </x:c>
      <x:c r="B36" s="487" t="n">
        <x:f>DATE(YEAR(A36),MONTH(A36),1)</x:f>
        <x:v>46143</x:v>
      </x:c>
      <x:c r="C36" s="488" t="str">
        <x:f>'原始订单'!B36</x:f>
        <x:v>D20260032</x:v>
      </x:c>
      <x:c r="D36" s="488" t="str">
        <x:f>'原始订单'!C36</x:f>
        <x:v>C1056</x:v>
      </x:c>
      <x:c r="E36" s="488" t="str">
        <x:f>'原始订单'!D36</x:f>
        <x:v>小红书</x:v>
      </x:c>
      <x:c r="F36" s="488" t="str">
        <x:f>'原始订单'!E36</x:f>
        <x:v>轻量旅行杯</x:v>
      </x:c>
      <x:c r="G36" s="489" t="n">
        <x:f>'原始订单'!F36</x:f>
        <x:v>1</x:v>
      </x:c>
      <x:c r="H36" s="489" t="n">
        <x:f>'原始订单'!G36</x:f>
        <x:v>129</x:v>
      </x:c>
      <x:c r="I36" s="490" t="n">
        <x:f>'原始订单'!H36</x:f>
        <x:v>0.1</x:v>
      </x:c>
      <x:c r="J36" s="491" t="n">
        <x:f>'原始订单'!I36</x:f>
        <x:v>1</x:v>
      </x:c>
      <x:c r="K36" s="492" t="n">
        <x:f>'原始订单'!J36</x:f>
        <x:v>48</x:v>
      </x:c>
      <x:c r="L36" s="492" t="n">
        <x:f>G36*H36</x:f>
        <x:v>129</x:v>
      </x:c>
      <x:c r="M36" s="492" t="n">
        <x:f>L36*I36</x:f>
        <x:v>12.9</x:v>
      </x:c>
      <x:c r="N36" s="492" t="n">
        <x:f>(L36-M36)*J36</x:f>
        <x:v>116.1</x:v>
      </x:c>
      <x:c r="O36" s="492" t="n">
        <x:f>L36-M36-N36</x:f>
        <x:v>0</x:v>
      </x:c>
      <x:c r="P36" s="492" t="n">
        <x:f>G36*K36*(1-J36)</x:f>
        <x:v>0</x:v>
      </x:c>
      <x:c r="Q36" s="492" t="n">
        <x:f>O36-P36</x:f>
        <x:v>0</x:v>
      </x:c>
      <x:c r="R36" s="490" t="n">
        <x:f>IF(O36=0,0,Q36/O36)</x:f>
        <x:v>0</x:v>
      </x:c>
      <x:c r="S36" s="488" t="str">
        <x:f>IF(J36=1,"退款",IF(I36&gt;=0.2,"高折扣","正常"))</x:f>
        <x:v>退款</x:v>
      </x:c>
    </x:row>
    <x:row r="37">
      <x:c r="A37" s="486" t="n">
        <x:f>'原始订单'!A37</x:f>
        <x:v>46161</x:v>
      </x:c>
      <x:c r="B37" s="487" t="n">
        <x:f>DATE(YEAR(A37),MONTH(A37),1)</x:f>
        <x:v>46143</x:v>
      </x:c>
      <x:c r="C37" s="488" t="str">
        <x:f>'原始订单'!B37</x:f>
        <x:v>D20260033</x:v>
      </x:c>
      <x:c r="D37" s="488" t="str">
        <x:f>'原始订单'!C37</x:f>
        <x:v>C1109</x:v>
      </x:c>
      <x:c r="E37" s="488" t="str">
        <x:f>'原始订单'!D37</x:f>
        <x:v>抖音广告</x:v>
      </x:c>
      <x:c r="F37" s="488" t="str">
        <x:f>'原始订单'!E37</x:f>
        <x:v>无线标签机</x:v>
      </x:c>
      <x:c r="G37" s="489" t="n">
        <x:f>'原始订单'!F37</x:f>
        <x:v>1</x:v>
      </x:c>
      <x:c r="H37" s="489" t="n">
        <x:f>'原始订单'!G37</x:f>
        <x:v>239</x:v>
      </x:c>
      <x:c r="I37" s="490" t="n">
        <x:f>'原始订单'!H37</x:f>
        <x:v>0.05</x:v>
      </x:c>
      <x:c r="J37" s="491" t="n">
        <x:f>'原始订单'!I37</x:f>
        <x:v>0</x:v>
      </x:c>
      <x:c r="K37" s="492" t="n">
        <x:f>'原始订单'!J37</x:f>
        <x:v>118</x:v>
      </x:c>
      <x:c r="L37" s="492" t="n">
        <x:f>G37*H37</x:f>
        <x:v>239</x:v>
      </x:c>
      <x:c r="M37" s="492" t="n">
        <x:f>L37*I37</x:f>
        <x:v>11.950000000000001</x:v>
      </x:c>
      <x:c r="N37" s="492" t="n">
        <x:f>(L37-M37)*J37</x:f>
        <x:v>0</x:v>
      </x:c>
      <x:c r="O37" s="492" t="n">
        <x:f>L37-M37-N37</x:f>
        <x:v>227.05</x:v>
      </x:c>
      <x:c r="P37" s="492" t="n">
        <x:f>G37*K37*(1-J37)</x:f>
        <x:v>118</x:v>
      </x:c>
      <x:c r="Q37" s="492" t="n">
        <x:f>O37-P37</x:f>
        <x:v>109.05000000000001</x:v>
      </x:c>
      <x:c r="R37" s="490" t="n">
        <x:f>IF(O37=0,0,Q37/O37)</x:f>
        <x:v>0.48029068487117377</x:v>
      </x:c>
      <x:c r="S37" s="488" t="str">
        <x:f>IF(J37=1,"退款",IF(I37&gt;=0.2,"高折扣","正常"))</x:f>
        <x:v>正常</x:v>
      </x:c>
    </x:row>
    <x:row r="38">
      <x:c r="A38" s="486" t="n">
        <x:f>'原始订单'!A38</x:f>
        <x:v>46162</x:v>
      </x:c>
      <x:c r="B38" s="487" t="n">
        <x:f>DATE(YEAR(A38),MONTH(A38),1)</x:f>
        <x:v>46143</x:v>
      </x:c>
      <x:c r="C38" s="488" t="str">
        <x:f>'原始订单'!B38</x:f>
        <x:v>D20260034</x:v>
      </x:c>
      <x:c r="D38" s="488" t="str">
        <x:f>'原始订单'!C38</x:f>
        <x:v>C1041</x:v>
      </x:c>
      <x:c r="E38" s="488" t="str">
        <x:f>'原始订单'!D38</x:f>
        <x:v>抖音广告</x:v>
      </x:c>
      <x:c r="F38" s="488" t="str">
        <x:f>'原始订单'!E38</x:f>
        <x:v>便携补光灯</x:v>
      </x:c>
      <x:c r="G38" s="489" t="n">
        <x:f>'原始订单'!F38</x:f>
        <x:v>2</x:v>
      </x:c>
      <x:c r="H38" s="489" t="n">
        <x:f>'原始订单'!G38</x:f>
        <x:v>159</x:v>
      </x:c>
      <x:c r="I38" s="490" t="n">
        <x:f>'原始订单'!H38</x:f>
        <x:v>0.1</x:v>
      </x:c>
      <x:c r="J38" s="491" t="n">
        <x:f>'原始订单'!I38</x:f>
        <x:v>0</x:v>
      </x:c>
      <x:c r="K38" s="492" t="n">
        <x:f>'原始订单'!J38</x:f>
        <x:v>72</x:v>
      </x:c>
      <x:c r="L38" s="492" t="n">
        <x:f>G38*H38</x:f>
        <x:v>318</x:v>
      </x:c>
      <x:c r="M38" s="492" t="n">
        <x:f>L38*I38</x:f>
        <x:v>31.8</x:v>
      </x:c>
      <x:c r="N38" s="492" t="n">
        <x:f>(L38-M38)*J38</x:f>
        <x:v>0</x:v>
      </x:c>
      <x:c r="O38" s="492" t="n">
        <x:f>L38-M38-N38</x:f>
        <x:v>286.2</x:v>
      </x:c>
      <x:c r="P38" s="492" t="n">
        <x:f>G38*K38*(1-J38)</x:f>
        <x:v>144</x:v>
      </x:c>
      <x:c r="Q38" s="492" t="n">
        <x:f>O38-P38</x:f>
        <x:v>142.2</x:v>
      </x:c>
      <x:c r="R38" s="490" t="n">
        <x:f>IF(O38=0,0,Q38/O38)</x:f>
        <x:v>0.4968553459119497</x:v>
      </x:c>
      <x:c r="S38" s="488" t="str">
        <x:f>IF(J38=1,"退款",IF(I38&gt;=0.2,"高折扣","正常"))</x:f>
        <x:v>正常</x:v>
      </x:c>
    </x:row>
    <x:row r="39">
      <x:c r="A39" s="486" t="n">
        <x:f>'原始订单'!A39</x:f>
        <x:v>46162</x:v>
      </x:c>
      <x:c r="B39" s="487" t="n">
        <x:f>DATE(YEAR(A39),MONTH(A39),1)</x:f>
        <x:v>46143</x:v>
      </x:c>
      <x:c r="C39" s="488" t="str">
        <x:f>'原始订单'!B39</x:f>
        <x:v>D20260035</x:v>
      </x:c>
      <x:c r="D39" s="488" t="str">
        <x:f>'原始订单'!C39</x:f>
        <x:v>C1062</x:v>
      </x:c>
      <x:c r="E39" s="488" t="str">
        <x:f>'原始订单'!D39</x:f>
        <x:v>自然搜索</x:v>
      </x:c>
      <x:c r="F39" s="488" t="str">
        <x:f>'原始订单'!E39</x:f>
        <x:v>便携补光灯</x:v>
      </x:c>
      <x:c r="G39" s="489" t="n">
        <x:f>'原始订单'!F39</x:f>
        <x:v>1</x:v>
      </x:c>
      <x:c r="H39" s="489" t="n">
        <x:f>'原始订单'!G39</x:f>
        <x:v>159</x:v>
      </x:c>
      <x:c r="I39" s="490" t="n">
        <x:f>'原始订单'!H39</x:f>
        <x:v>0</x:v>
      </x:c>
      <x:c r="J39" s="491" t="n">
        <x:f>'原始订单'!I39</x:f>
        <x:v>0</x:v>
      </x:c>
      <x:c r="K39" s="492" t="n">
        <x:f>'原始订单'!J39</x:f>
        <x:v>72</x:v>
      </x:c>
      <x:c r="L39" s="492" t="n">
        <x:f>G39*H39</x:f>
        <x:v>159</x:v>
      </x:c>
      <x:c r="M39" s="492" t="n">
        <x:f>L39*I39</x:f>
        <x:v>0</x:v>
      </x:c>
      <x:c r="N39" s="492" t="n">
        <x:f>(L39-M39)*J39</x:f>
        <x:v>0</x:v>
      </x:c>
      <x:c r="O39" s="492" t="n">
        <x:f>L39-M39-N39</x:f>
        <x:v>159</x:v>
      </x:c>
      <x:c r="P39" s="492" t="n">
        <x:f>G39*K39*(1-J39)</x:f>
        <x:v>72</x:v>
      </x:c>
      <x:c r="Q39" s="492" t="n">
        <x:f>O39-P39</x:f>
        <x:v>87</x:v>
      </x:c>
      <x:c r="R39" s="490" t="n">
        <x:f>IF(O39=0,0,Q39/O39)</x:f>
        <x:v>0.5471698113207547</x:v>
      </x:c>
      <x:c r="S39" s="488" t="str">
        <x:f>IF(J39=1,"退款",IF(I39&gt;=0.2,"高折扣","正常"))</x:f>
        <x:v>正常</x:v>
      </x:c>
    </x:row>
    <x:row r="40">
      <x:c r="A40" s="486" t="n">
        <x:f>'原始订单'!A40</x:f>
        <x:v>46162</x:v>
      </x:c>
      <x:c r="B40" s="487" t="n">
        <x:f>DATE(YEAR(A40),MONTH(A40),1)</x:f>
        <x:v>46143</x:v>
      </x:c>
      <x:c r="C40" s="488" t="str">
        <x:f>'原始订单'!B40</x:f>
        <x:v>D20260036</x:v>
      </x:c>
      <x:c r="D40" s="488" t="str">
        <x:f>'原始订单'!C40</x:f>
        <x:v>C1013</x:v>
      </x:c>
      <x:c r="E40" s="488" t="str">
        <x:f>'原始订单'!D40</x:f>
        <x:v>自然搜索</x:v>
      </x:c>
      <x:c r="F40" s="488" t="str">
        <x:f>'原始订单'!E40</x:f>
        <x:v>便携补光灯</x:v>
      </x:c>
      <x:c r="G40" s="489" t="n">
        <x:f>'原始订单'!F40</x:f>
        <x:v>1</x:v>
      </x:c>
      <x:c r="H40" s="489" t="n">
        <x:f>'原始订单'!G40</x:f>
        <x:v>159</x:v>
      </x:c>
      <x:c r="I40" s="490" t="n">
        <x:f>'原始订单'!H40</x:f>
        <x:v>0</x:v>
      </x:c>
      <x:c r="J40" s="491" t="n">
        <x:f>'原始订单'!I40</x:f>
        <x:v>0</x:v>
      </x:c>
      <x:c r="K40" s="492" t="n">
        <x:f>'原始订单'!J40</x:f>
        <x:v>72</x:v>
      </x:c>
      <x:c r="L40" s="492" t="n">
        <x:f>G40*H40</x:f>
        <x:v>159</x:v>
      </x:c>
      <x:c r="M40" s="492" t="n">
        <x:f>L40*I40</x:f>
        <x:v>0</x:v>
      </x:c>
      <x:c r="N40" s="492" t="n">
        <x:f>(L40-M40)*J40</x:f>
        <x:v>0</x:v>
      </x:c>
      <x:c r="O40" s="492" t="n">
        <x:f>L40-M40-N40</x:f>
        <x:v>159</x:v>
      </x:c>
      <x:c r="P40" s="492" t="n">
        <x:f>G40*K40*(1-J40)</x:f>
        <x:v>72</x:v>
      </x:c>
      <x:c r="Q40" s="492" t="n">
        <x:f>O40-P40</x:f>
        <x:v>87</x:v>
      </x:c>
      <x:c r="R40" s="490" t="n">
        <x:f>IF(O40=0,0,Q40/O40)</x:f>
        <x:v>0.5471698113207547</x:v>
      </x:c>
      <x:c r="S40" s="488" t="str">
        <x:f>IF(J40=1,"退款",IF(I40&gt;=0.2,"高折扣","正常"))</x:f>
        <x:v>正常</x:v>
      </x:c>
    </x:row>
    <x:row r="41">
      <x:c r="A41" s="486" t="n">
        <x:f>'原始订单'!A41</x:f>
        <x:v>46162</x:v>
      </x:c>
      <x:c r="B41" s="487" t="n">
        <x:f>DATE(YEAR(A41),MONTH(A41),1)</x:f>
        <x:v>46143</x:v>
      </x:c>
      <x:c r="C41" s="488" t="str">
        <x:f>'原始订单'!B41</x:f>
        <x:v>D20260037</x:v>
      </x:c>
      <x:c r="D41" s="488" t="str">
        <x:f>'原始订单'!C41</x:f>
        <x:v>C1058</x:v>
      </x:c>
      <x:c r="E41" s="488" t="str">
        <x:f>'原始订单'!D41</x:f>
        <x:v>小红书</x:v>
      </x:c>
      <x:c r="F41" s="488" t="str">
        <x:f>'原始订单'!E41</x:f>
        <x:v>桌面收纳架</x:v>
      </x:c>
      <x:c r="G41" s="489" t="n">
        <x:f>'原始订单'!F41</x:f>
        <x:v>2</x:v>
      </x:c>
      <x:c r="H41" s="489" t="n">
        <x:f>'原始订单'!G41</x:f>
        <x:v>89</x:v>
      </x:c>
      <x:c r="I41" s="490" t="n">
        <x:f>'原始订单'!H41</x:f>
        <x:v>0.05</x:v>
      </x:c>
      <x:c r="J41" s="491" t="n">
        <x:f>'原始订单'!I41</x:f>
        <x:v>0</x:v>
      </x:c>
      <x:c r="K41" s="492" t="n">
        <x:f>'原始订单'!J41</x:f>
        <x:v>32</x:v>
      </x:c>
      <x:c r="L41" s="492" t="n">
        <x:f>G41*H41</x:f>
        <x:v>178</x:v>
      </x:c>
      <x:c r="M41" s="492" t="n">
        <x:f>L41*I41</x:f>
        <x:v>8.9</x:v>
      </x:c>
      <x:c r="N41" s="492" t="n">
        <x:f>(L41-M41)*J41</x:f>
        <x:v>0</x:v>
      </x:c>
      <x:c r="O41" s="492" t="n">
        <x:f>L41-M41-N41</x:f>
        <x:v>169.1</x:v>
      </x:c>
      <x:c r="P41" s="492" t="n">
        <x:f>G41*K41*(1-J41)</x:f>
        <x:v>64</x:v>
      </x:c>
      <x:c r="Q41" s="492" t="n">
        <x:f>O41-P41</x:f>
        <x:v>105.1</x:v>
      </x:c>
      <x:c r="R41" s="490" t="n">
        <x:f>IF(O41=0,0,Q41/O41)</x:f>
        <x:v>0.6215257244234181</x:v>
      </x:c>
      <x:c r="S41" s="488" t="str">
        <x:f>IF(J41=1,"退款",IF(I41&gt;=0.2,"高折扣","正常"))</x:f>
        <x:v>正常</x:v>
      </x:c>
    </x:row>
    <x:row r="42">
      <x:c r="A42" s="486" t="n">
        <x:f>'原始订单'!A42</x:f>
        <x:v>46162</x:v>
      </x:c>
      <x:c r="B42" s="487" t="n">
        <x:f>DATE(YEAR(A42),MONTH(A42),1)</x:f>
        <x:v>46143</x:v>
      </x:c>
      <x:c r="C42" s="488" t="str">
        <x:f>'原始订单'!B42</x:f>
        <x:v>D20260038</x:v>
      </x:c>
      <x:c r="D42" s="488" t="str">
        <x:f>'原始订单'!C42</x:f>
        <x:v>C1012</x:v>
      </x:c>
      <x:c r="E42" s="488" t="str">
        <x:f>'原始订单'!D42</x:f>
        <x:v>老客复购</x:v>
      </x:c>
      <x:c r="F42" s="488" t="str">
        <x:f>'原始订单'!E42</x:f>
        <x:v>无线标签机</x:v>
      </x:c>
      <x:c r="G42" s="489" t="n">
        <x:f>'原始订单'!F42</x:f>
        <x:v>2</x:v>
      </x:c>
      <x:c r="H42" s="489" t="n">
        <x:f>'原始订单'!G42</x:f>
        <x:v>239</x:v>
      </x:c>
      <x:c r="I42" s="490" t="n">
        <x:f>'原始订单'!H42</x:f>
        <x:v>0</x:v>
      </x:c>
      <x:c r="J42" s="491" t="n">
        <x:f>'原始订单'!I42</x:f>
        <x:v>0</x:v>
      </x:c>
      <x:c r="K42" s="492" t="n">
        <x:f>'原始订单'!J42</x:f>
        <x:v>118</x:v>
      </x:c>
      <x:c r="L42" s="492" t="n">
        <x:f>G42*H42</x:f>
        <x:v>478</x:v>
      </x:c>
      <x:c r="M42" s="492" t="n">
        <x:f>L42*I42</x:f>
        <x:v>0</x:v>
      </x:c>
      <x:c r="N42" s="492" t="n">
        <x:f>(L42-M42)*J42</x:f>
        <x:v>0</x:v>
      </x:c>
      <x:c r="O42" s="492" t="n">
        <x:f>L42-M42-N42</x:f>
        <x:v>478</x:v>
      </x:c>
      <x:c r="P42" s="492" t="n">
        <x:f>G42*K42*(1-J42)</x:f>
        <x:v>236</x:v>
      </x:c>
      <x:c r="Q42" s="492" t="n">
        <x:f>O42-P42</x:f>
        <x:v>242</x:v>
      </x:c>
      <x:c r="R42" s="490" t="n">
        <x:f>IF(O42=0,0,Q42/O42)</x:f>
        <x:v>0.5062761506276151</x:v>
      </x:c>
      <x:c r="S42" s="488" t="str">
        <x:f>IF(J42=1,"退款",IF(I42&gt;=0.2,"高折扣","正常"))</x:f>
        <x:v>正常</x:v>
      </x:c>
    </x:row>
    <x:row r="43">
      <x:c r="A43" s="486" t="n">
        <x:f>'原始订单'!A43</x:f>
        <x:v>46162</x:v>
      </x:c>
      <x:c r="B43" s="487" t="n">
        <x:f>DATE(YEAR(A43),MONTH(A43),1)</x:f>
        <x:v>46143</x:v>
      </x:c>
      <x:c r="C43" s="488" t="str">
        <x:f>'原始订单'!B43</x:f>
        <x:v>D20260039</x:v>
      </x:c>
      <x:c r="D43" s="488" t="str">
        <x:f>'原始订单'!C43</x:f>
        <x:v>C1031</x:v>
      </x:c>
      <x:c r="E43" s="488" t="str">
        <x:f>'原始订单'!D43</x:f>
        <x:v>老客复购</x:v>
      </x:c>
      <x:c r="F43" s="488" t="str">
        <x:f>'原始订单'!E43</x:f>
        <x:v>桌面收纳架</x:v>
      </x:c>
      <x:c r="G43" s="489" t="n">
        <x:f>'原始订单'!F43</x:f>
        <x:v>1</x:v>
      </x:c>
      <x:c r="H43" s="489" t="n">
        <x:f>'原始订单'!G43</x:f>
        <x:v>89</x:v>
      </x:c>
      <x:c r="I43" s="490" t="n">
        <x:f>'原始订单'!H43</x:f>
        <x:v>0.1</x:v>
      </x:c>
      <x:c r="J43" s="491" t="n">
        <x:f>'原始订单'!I43</x:f>
        <x:v>0</x:v>
      </x:c>
      <x:c r="K43" s="492" t="n">
        <x:f>'原始订单'!J43</x:f>
        <x:v>32</x:v>
      </x:c>
      <x:c r="L43" s="492" t="n">
        <x:f>G43*H43</x:f>
        <x:v>89</x:v>
      </x:c>
      <x:c r="M43" s="492" t="n">
        <x:f>L43*I43</x:f>
        <x:v>8.9</x:v>
      </x:c>
      <x:c r="N43" s="492" t="n">
        <x:f>(L43-M43)*J43</x:f>
        <x:v>0</x:v>
      </x:c>
      <x:c r="O43" s="492" t="n">
        <x:f>L43-M43-N43</x:f>
        <x:v>80.1</x:v>
      </x:c>
      <x:c r="P43" s="492" t="n">
        <x:f>G43*K43*(1-J43)</x:f>
        <x:v>32</x:v>
      </x:c>
      <x:c r="Q43" s="492" t="n">
        <x:f>O43-P43</x:f>
        <x:v>48.099999999999994</x:v>
      </x:c>
      <x:c r="R43" s="490" t="n">
        <x:f>IF(O43=0,0,Q43/O43)</x:f>
        <x:v>0.6004993757802747</x:v>
      </x:c>
      <x:c r="S43" s="488" t="str">
        <x:f>IF(J43=1,"退款",IF(I43&gt;=0.2,"高折扣","正常"))</x:f>
        <x:v>正常</x:v>
      </x:c>
    </x:row>
    <x:row r="44">
      <x:c r="A44" s="486" t="n">
        <x:f>'原始订单'!A44</x:f>
        <x:v>46164</x:v>
      </x:c>
      <x:c r="B44" s="487" t="n">
        <x:f>DATE(YEAR(A44),MONTH(A44),1)</x:f>
        <x:v>46143</x:v>
      </x:c>
      <x:c r="C44" s="488" t="str">
        <x:f>'原始订单'!B44</x:f>
        <x:v>D20260040</x:v>
      </x:c>
      <x:c r="D44" s="488" t="str">
        <x:f>'原始订单'!C44</x:f>
        <x:v>C1070</x:v>
      </x:c>
      <x:c r="E44" s="488" t="str">
        <x:f>'原始订单'!D44</x:f>
        <x:v>小红书</x:v>
      </x:c>
      <x:c r="F44" s="488" t="str">
        <x:f>'原始订单'!E44</x:f>
        <x:v>便携补光灯</x:v>
      </x:c>
      <x:c r="G44" s="489" t="n">
        <x:f>'原始订单'!F44</x:f>
        <x:v>1</x:v>
      </x:c>
      <x:c r="H44" s="489" t="n">
        <x:f>'原始订单'!G44</x:f>
        <x:v>159</x:v>
      </x:c>
      <x:c r="I44" s="490" t="n">
        <x:f>'原始订单'!H44</x:f>
        <x:v>0.1</x:v>
      </x:c>
      <x:c r="J44" s="491" t="n">
        <x:f>'原始订单'!I44</x:f>
        <x:v>0</x:v>
      </x:c>
      <x:c r="K44" s="492" t="n">
        <x:f>'原始订单'!J44</x:f>
        <x:v>72</x:v>
      </x:c>
      <x:c r="L44" s="492" t="n">
        <x:f>G44*H44</x:f>
        <x:v>159</x:v>
      </x:c>
      <x:c r="M44" s="492" t="n">
        <x:f>L44*I44</x:f>
        <x:v>15.9</x:v>
      </x:c>
      <x:c r="N44" s="492" t="n">
        <x:f>(L44-M44)*J44</x:f>
        <x:v>0</x:v>
      </x:c>
      <x:c r="O44" s="492" t="n">
        <x:f>L44-M44-N44</x:f>
        <x:v>143.1</x:v>
      </x:c>
      <x:c r="P44" s="492" t="n">
        <x:f>G44*K44*(1-J44)</x:f>
        <x:v>72</x:v>
      </x:c>
      <x:c r="Q44" s="492" t="n">
        <x:f>O44-P44</x:f>
        <x:v>71.1</x:v>
      </x:c>
      <x:c r="R44" s="490" t="n">
        <x:f>IF(O44=0,0,Q44/O44)</x:f>
        <x:v>0.4968553459119497</x:v>
      </x:c>
      <x:c r="S44" s="488" t="str">
        <x:f>IF(J44=1,"退款",IF(I44&gt;=0.2,"高折扣","正常"))</x:f>
        <x:v>正常</x:v>
      </x:c>
    </x:row>
    <x:row r="45">
      <x:c r="A45" s="486" t="n">
        <x:f>'原始订单'!A45</x:f>
        <x:v>46165</x:v>
      </x:c>
      <x:c r="B45" s="487" t="n">
        <x:f>DATE(YEAR(A45),MONTH(A45),1)</x:f>
        <x:v>46143</x:v>
      </x:c>
      <x:c r="C45" s="488" t="str">
        <x:f>'原始订单'!B45</x:f>
        <x:v>D20260041</x:v>
      </x:c>
      <x:c r="D45" s="488" t="str">
        <x:f>'原始订单'!C45</x:f>
        <x:v>C1055</x:v>
      </x:c>
      <x:c r="E45" s="488" t="str">
        <x:f>'原始订单'!D45</x:f>
        <x:v>自然搜索</x:v>
      </x:c>
      <x:c r="F45" s="488" t="str">
        <x:f>'原始订单'!E45</x:f>
        <x:v>桌面收纳架</x:v>
      </x:c>
      <x:c r="G45" s="489" t="n">
        <x:f>'原始订单'!F45</x:f>
        <x:v>2</x:v>
      </x:c>
      <x:c r="H45" s="489" t="n">
        <x:f>'原始订单'!G45</x:f>
        <x:v>89</x:v>
      </x:c>
      <x:c r="I45" s="490" t="n">
        <x:f>'原始订单'!H45</x:f>
        <x:v>0.2</x:v>
      </x:c>
      <x:c r="J45" s="491" t="n">
        <x:f>'原始订单'!I45</x:f>
        <x:v>0</x:v>
      </x:c>
      <x:c r="K45" s="492" t="n">
        <x:f>'原始订单'!J45</x:f>
        <x:v>32</x:v>
      </x:c>
      <x:c r="L45" s="492" t="n">
        <x:f>G45*H45</x:f>
        <x:v>178</x:v>
      </x:c>
      <x:c r="M45" s="492" t="n">
        <x:f>L45*I45</x:f>
        <x:v>35.6</x:v>
      </x:c>
      <x:c r="N45" s="492" t="n">
        <x:f>(L45-M45)*J45</x:f>
        <x:v>0</x:v>
      </x:c>
      <x:c r="O45" s="492" t="n">
        <x:f>L45-M45-N45</x:f>
        <x:v>142.4</x:v>
      </x:c>
      <x:c r="P45" s="492" t="n">
        <x:f>G45*K45*(1-J45)</x:f>
        <x:v>64</x:v>
      </x:c>
      <x:c r="Q45" s="492" t="n">
        <x:f>O45-P45</x:f>
        <x:v>78.4</x:v>
      </x:c>
      <x:c r="R45" s="490" t="n">
        <x:f>IF(O45=0,0,Q45/O45)</x:f>
        <x:v>0.550561797752809</x:v>
      </x:c>
      <x:c r="S45" s="488" t="str">
        <x:f>IF(J45=1,"退款",IF(I45&gt;=0.2,"高折扣","正常"))</x:f>
        <x:v>高折扣</x:v>
      </x:c>
    </x:row>
    <x:row r="46">
      <x:c r="A46" s="486" t="n">
        <x:f>'原始订单'!A46</x:f>
        <x:v>46166</x:v>
      </x:c>
      <x:c r="B46" s="487" t="n">
        <x:f>DATE(YEAR(A46),MONTH(A46),1)</x:f>
        <x:v>46143</x:v>
      </x:c>
      <x:c r="C46" s="488" t="str">
        <x:f>'原始订单'!B46</x:f>
        <x:v>D20260042</x:v>
      </x:c>
      <x:c r="D46" s="488" t="str">
        <x:f>'原始订单'!C46</x:f>
        <x:v>C1014</x:v>
      </x:c>
      <x:c r="E46" s="488" t="str">
        <x:f>'原始订单'!D46</x:f>
        <x:v>老客复购</x:v>
      </x:c>
      <x:c r="F46" s="488" t="str">
        <x:f>'原始订单'!E46</x:f>
        <x:v>便携补光灯</x:v>
      </x:c>
      <x:c r="G46" s="489" t="n">
        <x:f>'原始订单'!F46</x:f>
        <x:v>3</x:v>
      </x:c>
      <x:c r="H46" s="489" t="n">
        <x:f>'原始订单'!G46</x:f>
        <x:v>159</x:v>
      </x:c>
      <x:c r="I46" s="490" t="n">
        <x:f>'原始订单'!H46</x:f>
        <x:v>0.1</x:v>
      </x:c>
      <x:c r="J46" s="491" t="n">
        <x:f>'原始订单'!I46</x:f>
        <x:v>0</x:v>
      </x:c>
      <x:c r="K46" s="492" t="n">
        <x:f>'原始订单'!J46</x:f>
        <x:v>72</x:v>
      </x:c>
      <x:c r="L46" s="492" t="n">
        <x:f>G46*H46</x:f>
        <x:v>477</x:v>
      </x:c>
      <x:c r="M46" s="492" t="n">
        <x:f>L46*I46</x:f>
        <x:v>47.7</x:v>
      </x:c>
      <x:c r="N46" s="492" t="n">
        <x:f>(L46-M46)*J46</x:f>
        <x:v>0</x:v>
      </x:c>
      <x:c r="O46" s="492" t="n">
        <x:f>L46-M46-N46</x:f>
        <x:v>429.3</x:v>
      </x:c>
      <x:c r="P46" s="492" t="n">
        <x:f>G46*K46*(1-J46)</x:f>
        <x:v>216</x:v>
      </x:c>
      <x:c r="Q46" s="492" t="n">
        <x:f>O46-P46</x:f>
        <x:v>213.3</x:v>
      </x:c>
      <x:c r="R46" s="490" t="n">
        <x:f>IF(O46=0,0,Q46/O46)</x:f>
        <x:v>0.4968553459119497</x:v>
      </x:c>
      <x:c r="S46" s="488" t="str">
        <x:f>IF(J46=1,"退款",IF(I46&gt;=0.2,"高折扣","正常"))</x:f>
        <x:v>正常</x:v>
      </x:c>
    </x:row>
    <x:row r="47">
      <x:c r="A47" s="486" t="n">
        <x:f>'原始订单'!A47</x:f>
        <x:v>46166</x:v>
      </x:c>
      <x:c r="B47" s="487" t="n">
        <x:f>DATE(YEAR(A47),MONTH(A47),1)</x:f>
        <x:v>46143</x:v>
      </x:c>
      <x:c r="C47" s="488" t="str">
        <x:f>'原始订单'!B47</x:f>
        <x:v>D20260043</x:v>
      </x:c>
      <x:c r="D47" s="488" t="str">
        <x:f>'原始订单'!C47</x:f>
        <x:v>C1098</x:v>
      </x:c>
      <x:c r="E47" s="488" t="str">
        <x:f>'原始订单'!D47</x:f>
        <x:v>抖音广告</x:v>
      </x:c>
      <x:c r="F47" s="488" t="str">
        <x:f>'原始订单'!E47</x:f>
        <x:v>轻量旅行杯</x:v>
      </x:c>
      <x:c r="G47" s="489" t="n">
        <x:f>'原始订单'!F47</x:f>
        <x:v>1</x:v>
      </x:c>
      <x:c r="H47" s="489" t="n">
        <x:f>'原始订单'!G47</x:f>
        <x:v>129</x:v>
      </x:c>
      <x:c r="I47" s="490" t="n">
        <x:f>'原始订单'!H47</x:f>
        <x:v>0.05</x:v>
      </x:c>
      <x:c r="J47" s="491" t="n">
        <x:f>'原始订单'!I47</x:f>
        <x:v>0</x:v>
      </x:c>
      <x:c r="K47" s="492" t="n">
        <x:f>'原始订单'!J47</x:f>
        <x:v>48</x:v>
      </x:c>
      <x:c r="L47" s="492" t="n">
        <x:f>G47*H47</x:f>
        <x:v>129</x:v>
      </x:c>
      <x:c r="M47" s="492" t="n">
        <x:f>L47*I47</x:f>
        <x:v>6.45</x:v>
      </x:c>
      <x:c r="N47" s="492" t="n">
        <x:f>(L47-M47)*J47</x:f>
        <x:v>0</x:v>
      </x:c>
      <x:c r="O47" s="492" t="n">
        <x:f>L47-M47-N47</x:f>
        <x:v>122.55</x:v>
      </x:c>
      <x:c r="P47" s="492" t="n">
        <x:f>G47*K47*(1-J47)</x:f>
        <x:v>48</x:v>
      </x:c>
      <x:c r="Q47" s="492" t="n">
        <x:f>O47-P47</x:f>
        <x:v>74.55</x:v>
      </x:c>
      <x:c r="R47" s="490" t="n">
        <x:f>IF(O47=0,0,Q47/O47)</x:f>
        <x:v>0.6083231334149327</x:v>
      </x:c>
      <x:c r="S47" s="488" t="str">
        <x:f>IF(J47=1,"退款",IF(I47&gt;=0.2,"高折扣","正常"))</x:f>
        <x:v>正常</x:v>
      </x:c>
    </x:row>
    <x:row r="48">
      <x:c r="A48" s="486" t="n">
        <x:f>'原始订单'!A48</x:f>
        <x:v>46166</x:v>
      </x:c>
      <x:c r="B48" s="487" t="n">
        <x:f>DATE(YEAR(A48),MONTH(A48),1)</x:f>
        <x:v>46143</x:v>
      </x:c>
      <x:c r="C48" s="488" t="str">
        <x:f>'原始订单'!B48</x:f>
        <x:v>D20260044</x:v>
      </x:c>
      <x:c r="D48" s="488" t="str">
        <x:f>'原始订单'!C48</x:f>
        <x:v>C1034</x:v>
      </x:c>
      <x:c r="E48" s="488" t="str">
        <x:f>'原始订单'!D48</x:f>
        <x:v>老客复购</x:v>
      </x:c>
      <x:c r="F48" s="488" t="str">
        <x:f>'原始订单'!E48</x:f>
        <x:v>桌面收纳架</x:v>
      </x:c>
      <x:c r="G48" s="489" t="n">
        <x:f>'原始订单'!F48</x:f>
        <x:v>1</x:v>
      </x:c>
      <x:c r="H48" s="489" t="n">
        <x:f>'原始订单'!G48</x:f>
        <x:v>89</x:v>
      </x:c>
      <x:c r="I48" s="490" t="n">
        <x:f>'原始订单'!H48</x:f>
        <x:v>0.1</x:v>
      </x:c>
      <x:c r="J48" s="491" t="n">
        <x:f>'原始订单'!I48</x:f>
        <x:v>0</x:v>
      </x:c>
      <x:c r="K48" s="492" t="n">
        <x:f>'原始订单'!J48</x:f>
        <x:v>32</x:v>
      </x:c>
      <x:c r="L48" s="492" t="n">
        <x:f>G48*H48</x:f>
        <x:v>89</x:v>
      </x:c>
      <x:c r="M48" s="492" t="n">
        <x:f>L48*I48</x:f>
        <x:v>8.9</x:v>
      </x:c>
      <x:c r="N48" s="492" t="n">
        <x:f>(L48-M48)*J48</x:f>
        <x:v>0</x:v>
      </x:c>
      <x:c r="O48" s="492" t="n">
        <x:f>L48-M48-N48</x:f>
        <x:v>80.1</x:v>
      </x:c>
      <x:c r="P48" s="492" t="n">
        <x:f>G48*K48*(1-J48)</x:f>
        <x:v>32</x:v>
      </x:c>
      <x:c r="Q48" s="492" t="n">
        <x:f>O48-P48</x:f>
        <x:v>48.099999999999994</x:v>
      </x:c>
      <x:c r="R48" s="490" t="n">
        <x:f>IF(O48=0,0,Q48/O48)</x:f>
        <x:v>0.6004993757802747</x:v>
      </x:c>
      <x:c r="S48" s="488" t="str">
        <x:f>IF(J48=1,"退款",IF(I48&gt;=0.2,"高折扣","正常"))</x:f>
        <x:v>正常</x:v>
      </x:c>
    </x:row>
    <x:row r="49">
      <x:c r="A49" s="486" t="n">
        <x:f>'原始订单'!A49</x:f>
        <x:v>46167</x:v>
      </x:c>
      <x:c r="B49" s="487" t="n">
        <x:f>DATE(YEAR(A49),MONTH(A49),1)</x:f>
        <x:v>46143</x:v>
      </x:c>
      <x:c r="C49" s="488" t="str">
        <x:f>'原始订单'!B49</x:f>
        <x:v>D20260045</x:v>
      </x:c>
      <x:c r="D49" s="488" t="str">
        <x:f>'原始订单'!C49</x:f>
        <x:v>C1089</x:v>
      </x:c>
      <x:c r="E49" s="488" t="str">
        <x:f>'原始订单'!D49</x:f>
        <x:v>抖音广告</x:v>
      </x:c>
      <x:c r="F49" s="488" t="str">
        <x:f>'原始订单'!E49</x:f>
        <x:v>无线标签机</x:v>
      </x:c>
      <x:c r="G49" s="489" t="n">
        <x:f>'原始订单'!F49</x:f>
        <x:v>3</x:v>
      </x:c>
      <x:c r="H49" s="489" t="n">
        <x:f>'原始订单'!G49</x:f>
        <x:v>239</x:v>
      </x:c>
      <x:c r="I49" s="490" t="n">
        <x:f>'原始订单'!H49</x:f>
        <x:v>0.05</x:v>
      </x:c>
      <x:c r="J49" s="491" t="n">
        <x:f>'原始订单'!I49</x:f>
        <x:v>0</x:v>
      </x:c>
      <x:c r="K49" s="492" t="n">
        <x:f>'原始订单'!J49</x:f>
        <x:v>118</x:v>
      </x:c>
      <x:c r="L49" s="492" t="n">
        <x:f>G49*H49</x:f>
        <x:v>717</x:v>
      </x:c>
      <x:c r="M49" s="492" t="n">
        <x:f>L49*I49</x:f>
        <x:v>35.85</x:v>
      </x:c>
      <x:c r="N49" s="492" t="n">
        <x:f>(L49-M49)*J49</x:f>
        <x:v>0</x:v>
      </x:c>
      <x:c r="O49" s="492" t="n">
        <x:f>L49-M49-N49</x:f>
        <x:v>681.15</x:v>
      </x:c>
      <x:c r="P49" s="492" t="n">
        <x:f>G49*K49*(1-J49)</x:f>
        <x:v>354</x:v>
      </x:c>
      <x:c r="Q49" s="492" t="n">
        <x:f>O49-P49</x:f>
        <x:v>327.15</x:v>
      </x:c>
      <x:c r="R49" s="490" t="n">
        <x:f>IF(O49=0,0,Q49/O49)</x:f>
        <x:v>0.4802906848711737</x:v>
      </x:c>
      <x:c r="S49" s="488" t="str">
        <x:f>IF(J49=1,"退款",IF(I49&gt;=0.2,"高折扣","正常"))</x:f>
        <x:v>正常</x:v>
      </x:c>
    </x:row>
    <x:row r="50">
      <x:c r="A50" s="486" t="n">
        <x:f>'原始订单'!A50</x:f>
        <x:v>46167</x:v>
      </x:c>
      <x:c r="B50" s="487" t="n">
        <x:f>DATE(YEAR(A50),MONTH(A50),1)</x:f>
        <x:v>46143</x:v>
      </x:c>
      <x:c r="C50" s="488" t="str">
        <x:f>'原始订单'!B50</x:f>
        <x:v>D20260046</x:v>
      </x:c>
      <x:c r="D50" s="488" t="str">
        <x:f>'原始订单'!C50</x:f>
        <x:v>C1013</x:v>
      </x:c>
      <x:c r="E50" s="488" t="str">
        <x:f>'原始订单'!D50</x:f>
        <x:v>自然搜索</x:v>
      </x:c>
      <x:c r="F50" s="488" t="str">
        <x:f>'原始订单'!E50</x:f>
        <x:v>无线标签机</x:v>
      </x:c>
      <x:c r="G50" s="489" t="n">
        <x:f>'原始订单'!F50</x:f>
        <x:v>1</x:v>
      </x:c>
      <x:c r="H50" s="489" t="n">
        <x:f>'原始订单'!G50</x:f>
        <x:v>239</x:v>
      </x:c>
      <x:c r="I50" s="490" t="n">
        <x:f>'原始订单'!H50</x:f>
        <x:v>0.1</x:v>
      </x:c>
      <x:c r="J50" s="491" t="n">
        <x:f>'原始订单'!I50</x:f>
        <x:v>0</x:v>
      </x:c>
      <x:c r="K50" s="492" t="n">
        <x:f>'原始订单'!J50</x:f>
        <x:v>118</x:v>
      </x:c>
      <x:c r="L50" s="492" t="n">
        <x:f>G50*H50</x:f>
        <x:v>239</x:v>
      </x:c>
      <x:c r="M50" s="492" t="n">
        <x:f>L50*I50</x:f>
        <x:v>23.900000000000002</x:v>
      </x:c>
      <x:c r="N50" s="492" t="n">
        <x:f>(L50-M50)*J50</x:f>
        <x:v>0</x:v>
      </x:c>
      <x:c r="O50" s="492" t="n">
        <x:f>L50-M50-N50</x:f>
        <x:v>215.1</x:v>
      </x:c>
      <x:c r="P50" s="492" t="n">
        <x:f>G50*K50*(1-J50)</x:f>
        <x:v>118</x:v>
      </x:c>
      <x:c r="Q50" s="492" t="n">
        <x:f>O50-P50</x:f>
        <x:v>97.1</x:v>
      </x:c>
      <x:c r="R50" s="490" t="n">
        <x:f>IF(O50=0,0,Q50/O50)</x:f>
        <x:v>0.4514179451417945</x:v>
      </x:c>
      <x:c r="S50" s="488" t="str">
        <x:f>IF(J50=1,"退款",IF(I50&gt;=0.2,"高折扣","正常"))</x:f>
        <x:v>正常</x:v>
      </x:c>
    </x:row>
    <x:row r="51">
      <x:c r="A51" s="486" t="n">
        <x:f>'原始订单'!A51</x:f>
        <x:v>46167</x:v>
      </x:c>
      <x:c r="B51" s="487" t="n">
        <x:f>DATE(YEAR(A51),MONTH(A51),1)</x:f>
        <x:v>46143</x:v>
      </x:c>
      <x:c r="C51" s="488" t="str">
        <x:f>'原始订单'!B51</x:f>
        <x:v>D20260047</x:v>
      </x:c>
      <x:c r="D51" s="488" t="str">
        <x:f>'原始订单'!C51</x:f>
        <x:v>C1026</x:v>
      </x:c>
      <x:c r="E51" s="488" t="str">
        <x:f>'原始订单'!D51</x:f>
        <x:v>老客复购</x:v>
      </x:c>
      <x:c r="F51" s="488" t="str">
        <x:f>'原始订单'!E51</x:f>
        <x:v>便携补光灯</x:v>
      </x:c>
      <x:c r="G51" s="489" t="n">
        <x:f>'原始订单'!F51</x:f>
        <x:v>1</x:v>
      </x:c>
      <x:c r="H51" s="489" t="n">
        <x:f>'原始订单'!G51</x:f>
        <x:v>159</x:v>
      </x:c>
      <x:c r="I51" s="490" t="n">
        <x:f>'原始订单'!H51</x:f>
        <x:v>0.05</x:v>
      </x:c>
      <x:c r="J51" s="491" t="n">
        <x:f>'原始订单'!I51</x:f>
        <x:v>0</x:v>
      </x:c>
      <x:c r="K51" s="492" t="n">
        <x:f>'原始订单'!J51</x:f>
        <x:v>72</x:v>
      </x:c>
      <x:c r="L51" s="492" t="n">
        <x:f>G51*H51</x:f>
        <x:v>159</x:v>
      </x:c>
      <x:c r="M51" s="492" t="n">
        <x:f>L51*I51</x:f>
        <x:v>7.95</x:v>
      </x:c>
      <x:c r="N51" s="492" t="n">
        <x:f>(L51-M51)*J51</x:f>
        <x:v>0</x:v>
      </x:c>
      <x:c r="O51" s="492" t="n">
        <x:f>L51-M51-N51</x:f>
        <x:v>151.05</x:v>
      </x:c>
      <x:c r="P51" s="492" t="n">
        <x:f>G51*K51*(1-J51)</x:f>
        <x:v>72</x:v>
      </x:c>
      <x:c r="Q51" s="492" t="n">
        <x:f>O51-P51</x:f>
        <x:v>79.05000000000001</x:v>
      </x:c>
      <x:c r="R51" s="490" t="n">
        <x:f>IF(O51=0,0,Q51/O51)</x:f>
        <x:v>0.5233366434955313</x:v>
      </x:c>
      <x:c r="S51" s="488" t="str">
        <x:f>IF(J51=1,"退款",IF(I51&gt;=0.2,"高折扣","正常"))</x:f>
        <x:v>正常</x:v>
      </x:c>
    </x:row>
    <x:row r="52">
      <x:c r="A52" s="486" t="n">
        <x:f>'原始订单'!A52</x:f>
        <x:v>46168</x:v>
      </x:c>
      <x:c r="B52" s="487" t="n">
        <x:f>DATE(YEAR(A52),MONTH(A52),1)</x:f>
        <x:v>46143</x:v>
      </x:c>
      <x:c r="C52" s="488" t="str">
        <x:f>'原始订单'!B52</x:f>
        <x:v>D20260048</x:v>
      </x:c>
      <x:c r="D52" s="488" t="str">
        <x:f>'原始订单'!C52</x:f>
        <x:v>C1077</x:v>
      </x:c>
      <x:c r="E52" s="488" t="str">
        <x:f>'原始订单'!D52</x:f>
        <x:v>小红书</x:v>
      </x:c>
      <x:c r="F52" s="488" t="str">
        <x:f>'原始订单'!E52</x:f>
        <x:v>无线标签机</x:v>
      </x:c>
      <x:c r="G52" s="489" t="n">
        <x:f>'原始订单'!F52</x:f>
        <x:v>1</x:v>
      </x:c>
      <x:c r="H52" s="489" t="n">
        <x:f>'原始订单'!G52</x:f>
        <x:v>239</x:v>
      </x:c>
      <x:c r="I52" s="490" t="n">
        <x:f>'原始订单'!H52</x:f>
        <x:v>0.1</x:v>
      </x:c>
      <x:c r="J52" s="491" t="n">
        <x:f>'原始订单'!I52</x:f>
        <x:v>0</x:v>
      </x:c>
      <x:c r="K52" s="492" t="n">
        <x:f>'原始订单'!J52</x:f>
        <x:v>118</x:v>
      </x:c>
      <x:c r="L52" s="492" t="n">
        <x:f>G52*H52</x:f>
        <x:v>239</x:v>
      </x:c>
      <x:c r="M52" s="492" t="n">
        <x:f>L52*I52</x:f>
        <x:v>23.900000000000002</x:v>
      </x:c>
      <x:c r="N52" s="492" t="n">
        <x:f>(L52-M52)*J52</x:f>
        <x:v>0</x:v>
      </x:c>
      <x:c r="O52" s="492" t="n">
        <x:f>L52-M52-N52</x:f>
        <x:v>215.1</x:v>
      </x:c>
      <x:c r="P52" s="492" t="n">
        <x:f>G52*K52*(1-J52)</x:f>
        <x:v>118</x:v>
      </x:c>
      <x:c r="Q52" s="492" t="n">
        <x:f>O52-P52</x:f>
        <x:v>97.1</x:v>
      </x:c>
      <x:c r="R52" s="490" t="n">
        <x:f>IF(O52=0,0,Q52/O52)</x:f>
        <x:v>0.4514179451417945</x:v>
      </x:c>
      <x:c r="S52" s="488" t="str">
        <x:f>IF(J52=1,"退款",IF(I52&gt;=0.2,"高折扣","正常"))</x:f>
        <x:v>正常</x:v>
      </x:c>
    </x:row>
    <x:row r="53">
      <x:c r="A53" s="486" t="n">
        <x:f>'原始订单'!A53</x:f>
        <x:v>46168</x:v>
      </x:c>
      <x:c r="B53" s="487" t="n">
        <x:f>DATE(YEAR(A53),MONTH(A53),1)</x:f>
        <x:v>46143</x:v>
      </x:c>
      <x:c r="C53" s="488" t="str">
        <x:f>'原始订单'!B53</x:f>
        <x:v>D20260049</x:v>
      </x:c>
      <x:c r="D53" s="488" t="str">
        <x:f>'原始订单'!C53</x:f>
        <x:v>C1027</x:v>
      </x:c>
      <x:c r="E53" s="488" t="str">
        <x:f>'原始订单'!D53</x:f>
        <x:v>自然搜索</x:v>
      </x:c>
      <x:c r="F53" s="488" t="str">
        <x:f>'原始订单'!E53</x:f>
        <x:v>桌面收纳架</x:v>
      </x:c>
      <x:c r="G53" s="489" t="n">
        <x:f>'原始订单'!F53</x:f>
        <x:v>1</x:v>
      </x:c>
      <x:c r="H53" s="489" t="n">
        <x:f>'原始订单'!G53</x:f>
        <x:v>89</x:v>
      </x:c>
      <x:c r="I53" s="490" t="n">
        <x:f>'原始订单'!H53</x:f>
        <x:v>0</x:v>
      </x:c>
      <x:c r="J53" s="491" t="n">
        <x:f>'原始订单'!I53</x:f>
        <x:v>0</x:v>
      </x:c>
      <x:c r="K53" s="492" t="n">
        <x:f>'原始订单'!J53</x:f>
        <x:v>32</x:v>
      </x:c>
      <x:c r="L53" s="492" t="n">
        <x:f>G53*H53</x:f>
        <x:v>89</x:v>
      </x:c>
      <x:c r="M53" s="492" t="n">
        <x:f>L53*I53</x:f>
        <x:v>0</x:v>
      </x:c>
      <x:c r="N53" s="492" t="n">
        <x:f>(L53-M53)*J53</x:f>
        <x:v>0</x:v>
      </x:c>
      <x:c r="O53" s="492" t="n">
        <x:f>L53-M53-N53</x:f>
        <x:v>89</x:v>
      </x:c>
      <x:c r="P53" s="492" t="n">
        <x:f>G53*K53*(1-J53)</x:f>
        <x:v>32</x:v>
      </x:c>
      <x:c r="Q53" s="492" t="n">
        <x:f>O53-P53</x:f>
        <x:v>57</x:v>
      </x:c>
      <x:c r="R53" s="490" t="n">
        <x:f>IF(O53=0,0,Q53/O53)</x:f>
        <x:v>0.6404494382022472</x:v>
      </x:c>
      <x:c r="S53" s="488" t="str">
        <x:f>IF(J53=1,"退款",IF(I53&gt;=0.2,"高折扣","正常"))</x:f>
        <x:v>正常</x:v>
      </x:c>
    </x:row>
    <x:row r="54">
      <x:c r="A54" s="486" t="n">
        <x:f>'原始订单'!A54</x:f>
        <x:v>46168</x:v>
      </x:c>
      <x:c r="B54" s="487" t="n">
        <x:f>DATE(YEAR(A54),MONTH(A54),1)</x:f>
        <x:v>46143</x:v>
      </x:c>
      <x:c r="C54" s="488" t="str">
        <x:f>'原始订单'!B54</x:f>
        <x:v>D20260050</x:v>
      </x:c>
      <x:c r="D54" s="488" t="str">
        <x:f>'原始订单'!C54</x:f>
        <x:v>C1005</x:v>
      </x:c>
      <x:c r="E54" s="488" t="str">
        <x:f>'原始订单'!D54</x:f>
        <x:v>老客复购</x:v>
      </x:c>
      <x:c r="F54" s="488" t="str">
        <x:f>'原始订单'!E54</x:f>
        <x:v>轻量旅行杯</x:v>
      </x:c>
      <x:c r="G54" s="489" t="n">
        <x:f>'原始订单'!F54</x:f>
        <x:v>1</x:v>
      </x:c>
      <x:c r="H54" s="489" t="n">
        <x:f>'原始订单'!G54</x:f>
        <x:v>129</x:v>
      </x:c>
      <x:c r="I54" s="490" t="n">
        <x:f>'原始订单'!H54</x:f>
        <x:v>0.05</x:v>
      </x:c>
      <x:c r="J54" s="491" t="n">
        <x:f>'原始订单'!I54</x:f>
        <x:v>0</x:v>
      </x:c>
      <x:c r="K54" s="492" t="n">
        <x:f>'原始订单'!J54</x:f>
        <x:v>48</x:v>
      </x:c>
      <x:c r="L54" s="492" t="n">
        <x:f>G54*H54</x:f>
        <x:v>129</x:v>
      </x:c>
      <x:c r="M54" s="492" t="n">
        <x:f>L54*I54</x:f>
        <x:v>6.45</x:v>
      </x:c>
      <x:c r="N54" s="492" t="n">
        <x:f>(L54-M54)*J54</x:f>
        <x:v>0</x:v>
      </x:c>
      <x:c r="O54" s="492" t="n">
        <x:f>L54-M54-N54</x:f>
        <x:v>122.55</x:v>
      </x:c>
      <x:c r="P54" s="492" t="n">
        <x:f>G54*K54*(1-J54)</x:f>
        <x:v>48</x:v>
      </x:c>
      <x:c r="Q54" s="492" t="n">
        <x:f>O54-P54</x:f>
        <x:v>74.55</x:v>
      </x:c>
      <x:c r="R54" s="490" t="n">
        <x:f>IF(O54=0,0,Q54/O54)</x:f>
        <x:v>0.6083231334149327</x:v>
      </x:c>
      <x:c r="S54" s="488" t="str">
        <x:f>IF(J54=1,"退款",IF(I54&gt;=0.2,"高折扣","正常"))</x:f>
        <x:v>正常</x:v>
      </x:c>
    </x:row>
    <x:row r="55">
      <x:c r="A55" s="486" t="n">
        <x:f>'原始订单'!A55</x:f>
        <x:v>46169</x:v>
      </x:c>
      <x:c r="B55" s="487" t="n">
        <x:f>DATE(YEAR(A55),MONTH(A55),1)</x:f>
        <x:v>46143</x:v>
      </x:c>
      <x:c r="C55" s="488" t="str">
        <x:f>'原始订单'!B55</x:f>
        <x:v>D20260051</x:v>
      </x:c>
      <x:c r="D55" s="488" t="str">
        <x:f>'原始订单'!C55</x:f>
        <x:v>C1133</x:v>
      </x:c>
      <x:c r="E55" s="488" t="str">
        <x:f>'原始订单'!D55</x:f>
        <x:v>小红书</x:v>
      </x:c>
      <x:c r="F55" s="488" t="str">
        <x:f>'原始订单'!E55</x:f>
        <x:v>轻量旅行杯</x:v>
      </x:c>
      <x:c r="G55" s="489" t="n">
        <x:f>'原始订单'!F55</x:f>
        <x:v>1</x:v>
      </x:c>
      <x:c r="H55" s="489" t="n">
        <x:f>'原始订单'!G55</x:f>
        <x:v>129</x:v>
      </x:c>
      <x:c r="I55" s="490" t="n">
        <x:f>'原始订单'!H55</x:f>
        <x:v>0</x:v>
      </x:c>
      <x:c r="J55" s="491" t="n">
        <x:f>'原始订单'!I55</x:f>
        <x:v>0</x:v>
      </x:c>
      <x:c r="K55" s="492" t="n">
        <x:f>'原始订单'!J55</x:f>
        <x:v>48</x:v>
      </x:c>
      <x:c r="L55" s="492" t="n">
        <x:f>G55*H55</x:f>
        <x:v>129</x:v>
      </x:c>
      <x:c r="M55" s="492" t="n">
        <x:f>L55*I55</x:f>
        <x:v>0</x:v>
      </x:c>
      <x:c r="N55" s="492" t="n">
        <x:f>(L55-M55)*J55</x:f>
        <x:v>0</x:v>
      </x:c>
      <x:c r="O55" s="492" t="n">
        <x:f>L55-M55-N55</x:f>
        <x:v>129</x:v>
      </x:c>
      <x:c r="P55" s="492" t="n">
        <x:f>G55*K55*(1-J55)</x:f>
        <x:v>48</x:v>
      </x:c>
      <x:c r="Q55" s="492" t="n">
        <x:f>O55-P55</x:f>
        <x:v>81</x:v>
      </x:c>
      <x:c r="R55" s="490" t="n">
        <x:f>IF(O55=0,0,Q55/O55)</x:f>
        <x:v>0.627906976744186</x:v>
      </x:c>
      <x:c r="S55" s="488" t="str">
        <x:f>IF(J55=1,"退款",IF(I55&gt;=0.2,"高折扣","正常"))</x:f>
        <x:v>正常</x:v>
      </x:c>
    </x:row>
    <x:row r="56">
      <x:c r="A56" s="486" t="n">
        <x:f>'原始订单'!A56</x:f>
        <x:v>46170</x:v>
      </x:c>
      <x:c r="B56" s="487" t="n">
        <x:f>DATE(YEAR(A56),MONTH(A56),1)</x:f>
        <x:v>46143</x:v>
      </x:c>
      <x:c r="C56" s="488" t="str">
        <x:f>'原始订单'!B56</x:f>
        <x:v>D20260052</x:v>
      </x:c>
      <x:c r="D56" s="488" t="str">
        <x:f>'原始订单'!C56</x:f>
        <x:v>C1032</x:v>
      </x:c>
      <x:c r="E56" s="488" t="str">
        <x:f>'原始订单'!D56</x:f>
        <x:v>小红书</x:v>
      </x:c>
      <x:c r="F56" s="488" t="str">
        <x:f>'原始订单'!E56</x:f>
        <x:v>无线标签机</x:v>
      </x:c>
      <x:c r="G56" s="489" t="n">
        <x:f>'原始订单'!F56</x:f>
        <x:v>1</x:v>
      </x:c>
      <x:c r="H56" s="489" t="n">
        <x:f>'原始订单'!G56</x:f>
        <x:v>239</x:v>
      </x:c>
      <x:c r="I56" s="490" t="n">
        <x:f>'原始订单'!H56</x:f>
        <x:v>0</x:v>
      </x:c>
      <x:c r="J56" s="491" t="n">
        <x:f>'原始订单'!I56</x:f>
        <x:v>0</x:v>
      </x:c>
      <x:c r="K56" s="492" t="n">
        <x:f>'原始订单'!J56</x:f>
        <x:v>118</x:v>
      </x:c>
      <x:c r="L56" s="492" t="n">
        <x:f>G56*H56</x:f>
        <x:v>239</x:v>
      </x:c>
      <x:c r="M56" s="492" t="n">
        <x:f>L56*I56</x:f>
        <x:v>0</x:v>
      </x:c>
      <x:c r="N56" s="492" t="n">
        <x:f>(L56-M56)*J56</x:f>
        <x:v>0</x:v>
      </x:c>
      <x:c r="O56" s="492" t="n">
        <x:f>L56-M56-N56</x:f>
        <x:v>239</x:v>
      </x:c>
      <x:c r="P56" s="492" t="n">
        <x:f>G56*K56*(1-J56)</x:f>
        <x:v>118</x:v>
      </x:c>
      <x:c r="Q56" s="492" t="n">
        <x:f>O56-P56</x:f>
        <x:v>121</x:v>
      </x:c>
      <x:c r="R56" s="490" t="n">
        <x:f>IF(O56=0,0,Q56/O56)</x:f>
        <x:v>0.5062761506276151</x:v>
      </x:c>
      <x:c r="S56" s="488" t="str">
        <x:f>IF(J56=1,"退款",IF(I56&gt;=0.2,"高折扣","正常"))</x:f>
        <x:v>正常</x:v>
      </x:c>
    </x:row>
    <x:row r="57">
      <x:c r="A57" s="486" t="n">
        <x:f>'原始订单'!A57</x:f>
        <x:v>46171</x:v>
      </x:c>
      <x:c r="B57" s="487" t="n">
        <x:f>DATE(YEAR(A57),MONTH(A57),1)</x:f>
        <x:v>46143</x:v>
      </x:c>
      <x:c r="C57" s="488" t="str">
        <x:f>'原始订单'!B57</x:f>
        <x:v>D20260053</x:v>
      </x:c>
      <x:c r="D57" s="488" t="str">
        <x:f>'原始订单'!C57</x:f>
        <x:v>C1083</x:v>
      </x:c>
      <x:c r="E57" s="488" t="str">
        <x:f>'原始订单'!D57</x:f>
        <x:v>小红书</x:v>
      </x:c>
      <x:c r="F57" s="488" t="str">
        <x:f>'原始订单'!E57</x:f>
        <x:v>桌面收纳架</x:v>
      </x:c>
      <x:c r="G57" s="489" t="n">
        <x:f>'原始订单'!F57</x:f>
        <x:v>2</x:v>
      </x:c>
      <x:c r="H57" s="489" t="n">
        <x:f>'原始订单'!G57</x:f>
        <x:v>89</x:v>
      </x:c>
      <x:c r="I57" s="490" t="n">
        <x:f>'原始订单'!H57</x:f>
        <x:v>0.05</x:v>
      </x:c>
      <x:c r="J57" s="491" t="n">
        <x:f>'原始订单'!I57</x:f>
        <x:v>0</x:v>
      </x:c>
      <x:c r="K57" s="492" t="n">
        <x:f>'原始订单'!J57</x:f>
        <x:v>32</x:v>
      </x:c>
      <x:c r="L57" s="492" t="n">
        <x:f>G57*H57</x:f>
        <x:v>178</x:v>
      </x:c>
      <x:c r="M57" s="492" t="n">
        <x:f>L57*I57</x:f>
        <x:v>8.9</x:v>
      </x:c>
      <x:c r="N57" s="492" t="n">
        <x:f>(L57-M57)*J57</x:f>
        <x:v>0</x:v>
      </x:c>
      <x:c r="O57" s="492" t="n">
        <x:f>L57-M57-N57</x:f>
        <x:v>169.1</x:v>
      </x:c>
      <x:c r="P57" s="492" t="n">
        <x:f>G57*K57*(1-J57)</x:f>
        <x:v>64</x:v>
      </x:c>
      <x:c r="Q57" s="492" t="n">
        <x:f>O57-P57</x:f>
        <x:v>105.1</x:v>
      </x:c>
      <x:c r="R57" s="490" t="n">
        <x:f>IF(O57=0,0,Q57/O57)</x:f>
        <x:v>0.6215257244234181</x:v>
      </x:c>
      <x:c r="S57" s="488" t="str">
        <x:f>IF(J57=1,"退款",IF(I57&gt;=0.2,"高折扣","正常"))</x:f>
        <x:v>正常</x:v>
      </x:c>
    </x:row>
    <x:row r="58">
      <x:c r="A58" s="486" t="n">
        <x:f>'原始订单'!A58</x:f>
        <x:v>46172</x:v>
      </x:c>
      <x:c r="B58" s="487" t="n">
        <x:f>DATE(YEAR(A58),MONTH(A58),1)</x:f>
        <x:v>46143</x:v>
      </x:c>
      <x:c r="C58" s="488" t="str">
        <x:f>'原始订单'!B58</x:f>
        <x:v>D20260054</x:v>
      </x:c>
      <x:c r="D58" s="488" t="str">
        <x:f>'原始订单'!C58</x:f>
        <x:v>C1063</x:v>
      </x:c>
      <x:c r="E58" s="488" t="str">
        <x:f>'原始订单'!D58</x:f>
        <x:v>自然搜索</x:v>
      </x:c>
      <x:c r="F58" s="488" t="str">
        <x:f>'原始订单'!E58</x:f>
        <x:v>无线标签机</x:v>
      </x:c>
      <x:c r="G58" s="489" t="n">
        <x:f>'原始订单'!F58</x:f>
        <x:v>1</x:v>
      </x:c>
      <x:c r="H58" s="489" t="n">
        <x:f>'原始订单'!G58</x:f>
        <x:v>239</x:v>
      </x:c>
      <x:c r="I58" s="490" t="n">
        <x:f>'原始订单'!H58</x:f>
        <x:v>0.05</x:v>
      </x:c>
      <x:c r="J58" s="491" t="n">
        <x:f>'原始订单'!I58</x:f>
        <x:v>0</x:v>
      </x:c>
      <x:c r="K58" s="492" t="n">
        <x:f>'原始订单'!J58</x:f>
        <x:v>118</x:v>
      </x:c>
      <x:c r="L58" s="492" t="n">
        <x:f>G58*H58</x:f>
        <x:v>239</x:v>
      </x:c>
      <x:c r="M58" s="492" t="n">
        <x:f>L58*I58</x:f>
        <x:v>11.950000000000001</x:v>
      </x:c>
      <x:c r="N58" s="492" t="n">
        <x:f>(L58-M58)*J58</x:f>
        <x:v>0</x:v>
      </x:c>
      <x:c r="O58" s="492" t="n">
        <x:f>L58-M58-N58</x:f>
        <x:v>227.05</x:v>
      </x:c>
      <x:c r="P58" s="492" t="n">
        <x:f>G58*K58*(1-J58)</x:f>
        <x:v>118</x:v>
      </x:c>
      <x:c r="Q58" s="492" t="n">
        <x:f>O58-P58</x:f>
        <x:v>109.05000000000001</x:v>
      </x:c>
      <x:c r="R58" s="490" t="n">
        <x:f>IF(O58=0,0,Q58/O58)</x:f>
        <x:v>0.48029068487117377</x:v>
      </x:c>
      <x:c r="S58" s="488" t="str">
        <x:f>IF(J58=1,"退款",IF(I58&gt;=0.2,"高折扣","正常"))</x:f>
        <x:v>正常</x:v>
      </x:c>
    </x:row>
    <x:row r="59">
      <x:c r="A59" s="486" t="n">
        <x:f>'原始订单'!A59</x:f>
        <x:v>46172</x:v>
      </x:c>
      <x:c r="B59" s="487" t="n">
        <x:f>DATE(YEAR(A59),MONTH(A59),1)</x:f>
        <x:v>46143</x:v>
      </x:c>
      <x:c r="C59" s="488" t="str">
        <x:f>'原始订单'!B59</x:f>
        <x:v>D20260055</x:v>
      </x:c>
      <x:c r="D59" s="488" t="str">
        <x:f>'原始订单'!C59</x:f>
        <x:v>C1012</x:v>
      </x:c>
      <x:c r="E59" s="488" t="str">
        <x:f>'原始订单'!D59</x:f>
        <x:v>老客复购</x:v>
      </x:c>
      <x:c r="F59" s="488" t="str">
        <x:f>'原始订单'!E59</x:f>
        <x:v>无线标签机</x:v>
      </x:c>
      <x:c r="G59" s="489" t="n">
        <x:f>'原始订单'!F59</x:f>
        <x:v>1</x:v>
      </x:c>
      <x:c r="H59" s="489" t="n">
        <x:f>'原始订单'!G59</x:f>
        <x:v>239</x:v>
      </x:c>
      <x:c r="I59" s="490" t="n">
        <x:f>'原始订单'!H59</x:f>
        <x:v>0.1</x:v>
      </x:c>
      <x:c r="J59" s="491" t="n">
        <x:f>'原始订单'!I59</x:f>
        <x:v>0</x:v>
      </x:c>
      <x:c r="K59" s="492" t="n">
        <x:f>'原始订单'!J59</x:f>
        <x:v>118</x:v>
      </x:c>
      <x:c r="L59" s="492" t="n">
        <x:f>G59*H59</x:f>
        <x:v>239</x:v>
      </x:c>
      <x:c r="M59" s="492" t="n">
        <x:f>L59*I59</x:f>
        <x:v>23.900000000000002</x:v>
      </x:c>
      <x:c r="N59" s="492" t="n">
        <x:f>(L59-M59)*J59</x:f>
        <x:v>0</x:v>
      </x:c>
      <x:c r="O59" s="492" t="n">
        <x:f>L59-M59-N59</x:f>
        <x:v>215.1</x:v>
      </x:c>
      <x:c r="P59" s="492" t="n">
        <x:f>G59*K59*(1-J59)</x:f>
        <x:v>118</x:v>
      </x:c>
      <x:c r="Q59" s="492" t="n">
        <x:f>O59-P59</x:f>
        <x:v>97.1</x:v>
      </x:c>
      <x:c r="R59" s="490" t="n">
        <x:f>IF(O59=0,0,Q59/O59)</x:f>
        <x:v>0.4514179451417945</x:v>
      </x:c>
      <x:c r="S59" s="488" t="str">
        <x:f>IF(J59=1,"退款",IF(I59&gt;=0.2,"高折扣","正常"))</x:f>
        <x:v>正常</x:v>
      </x:c>
    </x:row>
    <x:row r="60">
      <x:c r="A60" s="486" t="n">
        <x:f>'原始订单'!A60</x:f>
        <x:v>46173</x:v>
      </x:c>
      <x:c r="B60" s="487" t="n">
        <x:f>DATE(YEAR(A60),MONTH(A60),1)</x:f>
        <x:v>46143</x:v>
      </x:c>
      <x:c r="C60" s="488" t="str">
        <x:f>'原始订单'!B60</x:f>
        <x:v>D20260056</x:v>
      </x:c>
      <x:c r="D60" s="488" t="str">
        <x:f>'原始订单'!C60</x:f>
        <x:v>C1054</x:v>
      </x:c>
      <x:c r="E60" s="488" t="str">
        <x:f>'原始订单'!D60</x:f>
        <x:v>抖音广告</x:v>
      </x:c>
      <x:c r="F60" s="488" t="str">
        <x:f>'原始订单'!E60</x:f>
        <x:v>轻量旅行杯</x:v>
      </x:c>
      <x:c r="G60" s="489" t="n">
        <x:f>'原始订单'!F60</x:f>
        <x:v>1</x:v>
      </x:c>
      <x:c r="H60" s="489" t="n">
        <x:f>'原始订单'!G60</x:f>
        <x:v>129</x:v>
      </x:c>
      <x:c r="I60" s="490" t="n">
        <x:f>'原始订单'!H60</x:f>
        <x:v>0</x:v>
      </x:c>
      <x:c r="J60" s="491" t="n">
        <x:f>'原始订单'!I60</x:f>
        <x:v>0</x:v>
      </x:c>
      <x:c r="K60" s="492" t="n">
        <x:f>'原始订单'!J60</x:f>
        <x:v>48</x:v>
      </x:c>
      <x:c r="L60" s="492" t="n">
        <x:f>G60*H60</x:f>
        <x:v>129</x:v>
      </x:c>
      <x:c r="M60" s="492" t="n">
        <x:f>L60*I60</x:f>
        <x:v>0</x:v>
      </x:c>
      <x:c r="N60" s="492" t="n">
        <x:f>(L60-M60)*J60</x:f>
        <x:v>0</x:v>
      </x:c>
      <x:c r="O60" s="492" t="n">
        <x:f>L60-M60-N60</x:f>
        <x:v>129</x:v>
      </x:c>
      <x:c r="P60" s="492" t="n">
        <x:f>G60*K60*(1-J60)</x:f>
        <x:v>48</x:v>
      </x:c>
      <x:c r="Q60" s="492" t="n">
        <x:f>O60-P60</x:f>
        <x:v>81</x:v>
      </x:c>
      <x:c r="R60" s="490" t="n">
        <x:f>IF(O60=0,0,Q60/O60)</x:f>
        <x:v>0.627906976744186</x:v>
      </x:c>
      <x:c r="S60" s="488" t="str">
        <x:f>IF(J60=1,"退款",IF(I60&gt;=0.2,"高折扣","正常"))</x:f>
        <x:v>正常</x:v>
      </x:c>
    </x:row>
    <x:row r="61">
      <x:c r="A61" s="486" t="n">
        <x:f>'原始订单'!A61</x:f>
        <x:v>46173</x:v>
      </x:c>
      <x:c r="B61" s="487" t="n">
        <x:f>DATE(YEAR(A61),MONTH(A61),1)</x:f>
        <x:v>46143</x:v>
      </x:c>
      <x:c r="C61" s="488" t="str">
        <x:f>'原始订单'!B61</x:f>
        <x:v>D20260057</x:v>
      </x:c>
      <x:c r="D61" s="488" t="str">
        <x:f>'原始订单'!C61</x:f>
        <x:v>C1004</x:v>
      </x:c>
      <x:c r="E61" s="488" t="str">
        <x:f>'原始订单'!D61</x:f>
        <x:v>抖音广告</x:v>
      </x:c>
      <x:c r="F61" s="488" t="str">
        <x:f>'原始订单'!E61</x:f>
        <x:v>轻量旅行杯</x:v>
      </x:c>
      <x:c r="G61" s="489" t="n">
        <x:f>'原始订单'!F61</x:f>
        <x:v>2</x:v>
      </x:c>
      <x:c r="H61" s="489" t="n">
        <x:f>'原始订单'!G61</x:f>
        <x:v>129</x:v>
      </x:c>
      <x:c r="I61" s="490" t="n">
        <x:f>'原始订单'!H61</x:f>
        <x:v>0.1</x:v>
      </x:c>
      <x:c r="J61" s="491" t="n">
        <x:f>'原始订单'!I61</x:f>
        <x:v>0</x:v>
      </x:c>
      <x:c r="K61" s="492" t="n">
        <x:f>'原始订单'!J61</x:f>
        <x:v>48</x:v>
      </x:c>
      <x:c r="L61" s="492" t="n">
        <x:f>G61*H61</x:f>
        <x:v>258</x:v>
      </x:c>
      <x:c r="M61" s="492" t="n">
        <x:f>L61*I61</x:f>
        <x:v>25.8</x:v>
      </x:c>
      <x:c r="N61" s="492" t="n">
        <x:f>(L61-M61)*J61</x:f>
        <x:v>0</x:v>
      </x:c>
      <x:c r="O61" s="492" t="n">
        <x:f>L61-M61-N61</x:f>
        <x:v>232.2</x:v>
      </x:c>
      <x:c r="P61" s="492" t="n">
        <x:f>G61*K61*(1-J61)</x:f>
        <x:v>96</x:v>
      </x:c>
      <x:c r="Q61" s="492" t="n">
        <x:f>O61-P61</x:f>
        <x:v>136.2</x:v>
      </x:c>
      <x:c r="R61" s="490" t="n">
        <x:f>IF(O61=0,0,Q61/O61)</x:f>
        <x:v>0.58656330749354</x:v>
      </x:c>
      <x:c r="S61" s="488" t="str">
        <x:f>IF(J61=1,"退款",IF(I61&gt;=0.2,"高折扣","正常"))</x:f>
        <x:v>正常</x:v>
      </x:c>
    </x:row>
    <x:row r="62">
      <x:c r="A62" s="486" t="n">
        <x:f>'原始订单'!A62</x:f>
        <x:v>46173</x:v>
      </x:c>
      <x:c r="B62" s="487" t="n">
        <x:f>DATE(YEAR(A62),MONTH(A62),1)</x:f>
        <x:v>46143</x:v>
      </x:c>
      <x:c r="C62" s="488" t="str">
        <x:f>'原始订单'!B62</x:f>
        <x:v>D20260058</x:v>
      </x:c>
      <x:c r="D62" s="488" t="str">
        <x:f>'原始订单'!C62</x:f>
        <x:v>C1120</x:v>
      </x:c>
      <x:c r="E62" s="488" t="str">
        <x:f>'原始订单'!D62</x:f>
        <x:v>自然搜索</x:v>
      </x:c>
      <x:c r="F62" s="488" t="str">
        <x:f>'原始订单'!E62</x:f>
        <x:v>便携补光灯</x:v>
      </x:c>
      <x:c r="G62" s="489" t="n">
        <x:f>'原始订单'!F62</x:f>
        <x:v>1</x:v>
      </x:c>
      <x:c r="H62" s="489" t="n">
        <x:f>'原始订单'!G62</x:f>
        <x:v>159</x:v>
      </x:c>
      <x:c r="I62" s="490" t="n">
        <x:f>'原始订单'!H62</x:f>
        <x:v>0</x:v>
      </x:c>
      <x:c r="J62" s="491" t="n">
        <x:f>'原始订单'!I62</x:f>
        <x:v>0</x:v>
      </x:c>
      <x:c r="K62" s="492" t="n">
        <x:f>'原始订单'!J62</x:f>
        <x:v>72</x:v>
      </x:c>
      <x:c r="L62" s="492" t="n">
        <x:f>G62*H62</x:f>
        <x:v>159</x:v>
      </x:c>
      <x:c r="M62" s="492" t="n">
        <x:f>L62*I62</x:f>
        <x:v>0</x:v>
      </x:c>
      <x:c r="N62" s="492" t="n">
        <x:f>(L62-M62)*J62</x:f>
        <x:v>0</x:v>
      </x:c>
      <x:c r="O62" s="492" t="n">
        <x:f>L62-M62-N62</x:f>
        <x:v>159</x:v>
      </x:c>
      <x:c r="P62" s="492" t="n">
        <x:f>G62*K62*(1-J62)</x:f>
        <x:v>72</x:v>
      </x:c>
      <x:c r="Q62" s="492" t="n">
        <x:f>O62-P62</x:f>
        <x:v>87</x:v>
      </x:c>
      <x:c r="R62" s="490" t="n">
        <x:f>IF(O62=0,0,Q62/O62)</x:f>
        <x:v>0.5471698113207547</x:v>
      </x:c>
      <x:c r="S62" s="488" t="str">
        <x:f>IF(J62=1,"退款",IF(I62&gt;=0.2,"高折扣","正常"))</x:f>
        <x:v>正常</x:v>
      </x:c>
    </x:row>
    <x:row r="63">
      <x:c r="A63" s="486" t="n">
        <x:f>'原始订单'!A63</x:f>
        <x:v>46173</x:v>
      </x:c>
      <x:c r="B63" s="487" t="n">
        <x:f>DATE(YEAR(A63),MONTH(A63),1)</x:f>
        <x:v>46143</x:v>
      </x:c>
      <x:c r="C63" s="488" t="str">
        <x:f>'原始订单'!B63</x:f>
        <x:v>D20260059</x:v>
      </x:c>
      <x:c r="D63" s="488" t="str">
        <x:f>'原始订单'!C63</x:f>
        <x:v>C1058</x:v>
      </x:c>
      <x:c r="E63" s="488" t="str">
        <x:f>'原始订单'!D63</x:f>
        <x:v>抖音广告</x:v>
      </x:c>
      <x:c r="F63" s="488" t="str">
        <x:f>'原始订单'!E63</x:f>
        <x:v>无线标签机</x:v>
      </x:c>
      <x:c r="G63" s="489" t="n">
        <x:f>'原始订单'!F63</x:f>
        <x:v>1</x:v>
      </x:c>
      <x:c r="H63" s="489" t="n">
        <x:f>'原始订单'!G63</x:f>
        <x:v>239</x:v>
      </x:c>
      <x:c r="I63" s="490" t="n">
        <x:f>'原始订单'!H63</x:f>
        <x:v>0.2</x:v>
      </x:c>
      <x:c r="J63" s="491" t="n">
        <x:f>'原始订单'!I63</x:f>
        <x:v>0</x:v>
      </x:c>
      <x:c r="K63" s="492" t="n">
        <x:f>'原始订单'!J63</x:f>
        <x:v>118</x:v>
      </x:c>
      <x:c r="L63" s="492" t="n">
        <x:f>G63*H63</x:f>
        <x:v>239</x:v>
      </x:c>
      <x:c r="M63" s="492" t="n">
        <x:f>L63*I63</x:f>
        <x:v>47.800000000000004</x:v>
      </x:c>
      <x:c r="N63" s="492" t="n">
        <x:f>(L63-M63)*J63</x:f>
        <x:v>0</x:v>
      </x:c>
      <x:c r="O63" s="492" t="n">
        <x:f>L63-M63-N63</x:f>
        <x:v>191.2</x:v>
      </x:c>
      <x:c r="P63" s="492" t="n">
        <x:f>G63*K63*(1-J63)</x:f>
        <x:v>118</x:v>
      </x:c>
      <x:c r="Q63" s="492" t="n">
        <x:f>O63-P63</x:f>
        <x:v>73.19999999999999</x:v>
      </x:c>
      <x:c r="R63" s="490" t="n">
        <x:f>IF(O63=0,0,Q63/O63)</x:f>
        <x:v>0.3828451882845188</x:v>
      </x:c>
      <x:c r="S63" s="488" t="str">
        <x:f>IF(J63=1,"退款",IF(I63&gt;=0.2,"高折扣","正常"))</x:f>
        <x:v>高折扣</x:v>
      </x:c>
    </x:row>
    <x:row r="64">
      <x:c r="A64" s="486" t="n">
        <x:f>'原始订单'!A64</x:f>
        <x:v>46173</x:v>
      </x:c>
      <x:c r="B64" s="487" t="n">
        <x:f>DATE(YEAR(A64),MONTH(A64),1)</x:f>
        <x:v>46143</x:v>
      </x:c>
      <x:c r="C64" s="488" t="str">
        <x:f>'原始订单'!B64</x:f>
        <x:v>D20260060</x:v>
      </x:c>
      <x:c r="D64" s="488" t="str">
        <x:f>'原始订单'!C64</x:f>
        <x:v>C1004</x:v>
      </x:c>
      <x:c r="E64" s="488" t="str">
        <x:f>'原始订单'!D64</x:f>
        <x:v>自然搜索</x:v>
      </x:c>
      <x:c r="F64" s="488" t="str">
        <x:f>'原始订单'!E64</x:f>
        <x:v>轻量旅行杯</x:v>
      </x:c>
      <x:c r="G64" s="489" t="n">
        <x:f>'原始订单'!F64</x:f>
        <x:v>1</x:v>
      </x:c>
      <x:c r="H64" s="489" t="n">
        <x:f>'原始订单'!G64</x:f>
        <x:v>129</x:v>
      </x:c>
      <x:c r="I64" s="490" t="n">
        <x:f>'原始订单'!H64</x:f>
        <x:v>0.05</x:v>
      </x:c>
      <x:c r="J64" s="491" t="n">
        <x:f>'原始订单'!I64</x:f>
        <x:v>0</x:v>
      </x:c>
      <x:c r="K64" s="492" t="n">
        <x:f>'原始订单'!J64</x:f>
        <x:v>48</x:v>
      </x:c>
      <x:c r="L64" s="492" t="n">
        <x:f>G64*H64</x:f>
        <x:v>129</x:v>
      </x:c>
      <x:c r="M64" s="492" t="n">
        <x:f>L64*I64</x:f>
        <x:v>6.45</x:v>
      </x:c>
      <x:c r="N64" s="492" t="n">
        <x:f>(L64-M64)*J64</x:f>
        <x:v>0</x:v>
      </x:c>
      <x:c r="O64" s="492" t="n">
        <x:f>L64-M64-N64</x:f>
        <x:v>122.55</x:v>
      </x:c>
      <x:c r="P64" s="492" t="n">
        <x:f>G64*K64*(1-J64)</x:f>
        <x:v>48</x:v>
      </x:c>
      <x:c r="Q64" s="492" t="n">
        <x:f>O64-P64</x:f>
        <x:v>74.55</x:v>
      </x:c>
      <x:c r="R64" s="490" t="n">
        <x:f>IF(O64=0,0,Q64/O64)</x:f>
        <x:v>0.6083231334149327</x:v>
      </x:c>
      <x:c r="S64" s="488" t="str">
        <x:f>IF(J64=1,"退款",IF(I64&gt;=0.2,"高折扣","正常"))</x:f>
        <x:v>正常</x:v>
      </x:c>
    </x:row>
    <x:row r="65">
      <x:c r="A65" s="486" t="n">
        <x:f>'原始订单'!A65</x:f>
        <x:v>46174</x:v>
      </x:c>
      <x:c r="B65" s="487" t="n">
        <x:f>DATE(YEAR(A65),MONTH(A65),1)</x:f>
        <x:v>46174</x:v>
      </x:c>
      <x:c r="C65" s="488" t="str">
        <x:f>'原始订单'!B65</x:f>
        <x:v>D20260061</x:v>
      </x:c>
      <x:c r="D65" s="488" t="str">
        <x:f>'原始订单'!C65</x:f>
        <x:v>C1040</x:v>
      </x:c>
      <x:c r="E65" s="488" t="str">
        <x:f>'原始订单'!D65</x:f>
        <x:v>老客复购</x:v>
      </x:c>
      <x:c r="F65" s="488" t="str">
        <x:f>'原始订单'!E65</x:f>
        <x:v>无线标签机</x:v>
      </x:c>
      <x:c r="G65" s="489" t="n">
        <x:f>'原始订单'!F65</x:f>
        <x:v>1</x:v>
      </x:c>
      <x:c r="H65" s="489" t="n">
        <x:f>'原始订单'!G65</x:f>
        <x:v>239</x:v>
      </x:c>
      <x:c r="I65" s="490" t="n">
        <x:f>'原始订单'!H65</x:f>
        <x:v>0</x:v>
      </x:c>
      <x:c r="J65" s="491" t="n">
        <x:f>'原始订单'!I65</x:f>
        <x:v>0</x:v>
      </x:c>
      <x:c r="K65" s="492" t="n">
        <x:f>'原始订单'!J65</x:f>
        <x:v>118</x:v>
      </x:c>
      <x:c r="L65" s="492" t="n">
        <x:f>G65*H65</x:f>
        <x:v>239</x:v>
      </x:c>
      <x:c r="M65" s="492" t="n">
        <x:f>L65*I65</x:f>
        <x:v>0</x:v>
      </x:c>
      <x:c r="N65" s="492" t="n">
        <x:f>(L65-M65)*J65</x:f>
        <x:v>0</x:v>
      </x:c>
      <x:c r="O65" s="492" t="n">
        <x:f>L65-M65-N65</x:f>
        <x:v>239</x:v>
      </x:c>
      <x:c r="P65" s="492" t="n">
        <x:f>G65*K65*(1-J65)</x:f>
        <x:v>118</x:v>
      </x:c>
      <x:c r="Q65" s="492" t="n">
        <x:f>O65-P65</x:f>
        <x:v>121</x:v>
      </x:c>
      <x:c r="R65" s="490" t="n">
        <x:f>IF(O65=0,0,Q65/O65)</x:f>
        <x:v>0.5062761506276151</x:v>
      </x:c>
      <x:c r="S65" s="488" t="str">
        <x:f>IF(J65=1,"退款",IF(I65&gt;=0.2,"高折扣","正常"))</x:f>
        <x:v>正常</x:v>
      </x:c>
    </x:row>
    <x:row r="66">
      <x:c r="A66" s="486" t="n">
        <x:f>'原始订单'!A66</x:f>
        <x:v>46174</x:v>
      </x:c>
      <x:c r="B66" s="487" t="n">
        <x:f>DATE(YEAR(A66),MONTH(A66),1)</x:f>
        <x:v>46174</x:v>
      </x:c>
      <x:c r="C66" s="488" t="str">
        <x:f>'原始订单'!B66</x:f>
        <x:v>D20260062</x:v>
      </x:c>
      <x:c r="D66" s="488" t="str">
        <x:f>'原始订单'!C66</x:f>
        <x:v>C1132</x:v>
      </x:c>
      <x:c r="E66" s="488" t="str">
        <x:f>'原始订单'!D66</x:f>
        <x:v>抖音广告</x:v>
      </x:c>
      <x:c r="F66" s="488" t="str">
        <x:f>'原始订单'!E66</x:f>
        <x:v>便携补光灯</x:v>
      </x:c>
      <x:c r="G66" s="489" t="n">
        <x:f>'原始订单'!F66</x:f>
        <x:v>1</x:v>
      </x:c>
      <x:c r="H66" s="489" t="n">
        <x:f>'原始订单'!G66</x:f>
        <x:v>159</x:v>
      </x:c>
      <x:c r="I66" s="490" t="n">
        <x:f>'原始订单'!H66</x:f>
        <x:v>0</x:v>
      </x:c>
      <x:c r="J66" s="491" t="n">
        <x:f>'原始订单'!I66</x:f>
        <x:v>0</x:v>
      </x:c>
      <x:c r="K66" s="492" t="n">
        <x:f>'原始订单'!J66</x:f>
        <x:v>72</x:v>
      </x:c>
      <x:c r="L66" s="492" t="n">
        <x:f>G66*H66</x:f>
        <x:v>159</x:v>
      </x:c>
      <x:c r="M66" s="492" t="n">
        <x:f>L66*I66</x:f>
        <x:v>0</x:v>
      </x:c>
      <x:c r="N66" s="492" t="n">
        <x:f>(L66-M66)*J66</x:f>
        <x:v>0</x:v>
      </x:c>
      <x:c r="O66" s="492" t="n">
        <x:f>L66-M66-N66</x:f>
        <x:v>159</x:v>
      </x:c>
      <x:c r="P66" s="492" t="n">
        <x:f>G66*K66*(1-J66)</x:f>
        <x:v>72</x:v>
      </x:c>
      <x:c r="Q66" s="492" t="n">
        <x:f>O66-P66</x:f>
        <x:v>87</x:v>
      </x:c>
      <x:c r="R66" s="490" t="n">
        <x:f>IF(O66=0,0,Q66/O66)</x:f>
        <x:v>0.5471698113207547</x:v>
      </x:c>
      <x:c r="S66" s="488" t="str">
        <x:f>IF(J66=1,"退款",IF(I66&gt;=0.2,"高折扣","正常"))</x:f>
        <x:v>正常</x:v>
      </x:c>
    </x:row>
    <x:row r="67">
      <x:c r="A67" s="486" t="n">
        <x:f>'原始订单'!A67</x:f>
        <x:v>46174</x:v>
      </x:c>
      <x:c r="B67" s="487" t="n">
        <x:f>DATE(YEAR(A67),MONTH(A67),1)</x:f>
        <x:v>46174</x:v>
      </x:c>
      <x:c r="C67" s="488" t="str">
        <x:f>'原始订单'!B67</x:f>
        <x:v>D20260063</x:v>
      </x:c>
      <x:c r="D67" s="488" t="str">
        <x:f>'原始订单'!C67</x:f>
        <x:v>C1029</x:v>
      </x:c>
      <x:c r="E67" s="488" t="str">
        <x:f>'原始订单'!D67</x:f>
        <x:v>老客复购</x:v>
      </x:c>
      <x:c r="F67" s="488" t="str">
        <x:f>'原始订单'!E67</x:f>
        <x:v>无线标签机</x:v>
      </x:c>
      <x:c r="G67" s="489" t="n">
        <x:f>'原始订单'!F67</x:f>
        <x:v>1</x:v>
      </x:c>
      <x:c r="H67" s="489" t="n">
        <x:f>'原始订单'!G67</x:f>
        <x:v>239</x:v>
      </x:c>
      <x:c r="I67" s="490" t="n">
        <x:f>'原始订单'!H67</x:f>
        <x:v>0.05</x:v>
      </x:c>
      <x:c r="J67" s="491" t="n">
        <x:f>'原始订单'!I67</x:f>
        <x:v>0</x:v>
      </x:c>
      <x:c r="K67" s="492" t="n">
        <x:f>'原始订单'!J67</x:f>
        <x:v>118</x:v>
      </x:c>
      <x:c r="L67" s="492" t="n">
        <x:f>G67*H67</x:f>
        <x:v>239</x:v>
      </x:c>
      <x:c r="M67" s="492" t="n">
        <x:f>L67*I67</x:f>
        <x:v>11.950000000000001</x:v>
      </x:c>
      <x:c r="N67" s="492" t="n">
        <x:f>(L67-M67)*J67</x:f>
        <x:v>0</x:v>
      </x:c>
      <x:c r="O67" s="492" t="n">
        <x:f>L67-M67-N67</x:f>
        <x:v>227.05</x:v>
      </x:c>
      <x:c r="P67" s="492" t="n">
        <x:f>G67*K67*(1-J67)</x:f>
        <x:v>118</x:v>
      </x:c>
      <x:c r="Q67" s="492" t="n">
        <x:f>O67-P67</x:f>
        <x:v>109.05000000000001</x:v>
      </x:c>
      <x:c r="R67" s="490" t="n">
        <x:f>IF(O67=0,0,Q67/O67)</x:f>
        <x:v>0.48029068487117377</x:v>
      </x:c>
      <x:c r="S67" s="488" t="str">
        <x:f>IF(J67=1,"退款",IF(I67&gt;=0.2,"高折扣","正常"))</x:f>
        <x:v>正常</x:v>
      </x:c>
    </x:row>
    <x:row r="68">
      <x:c r="A68" s="486" t="n">
        <x:f>'原始订单'!A68</x:f>
        <x:v>46174</x:v>
      </x:c>
      <x:c r="B68" s="487" t="n">
        <x:f>DATE(YEAR(A68),MONTH(A68),1)</x:f>
        <x:v>46174</x:v>
      </x:c>
      <x:c r="C68" s="488" t="str">
        <x:f>'原始订单'!B68</x:f>
        <x:v>D20260064</x:v>
      </x:c>
      <x:c r="D68" s="488" t="str">
        <x:f>'原始订单'!C68</x:f>
        <x:v>C1138</x:v>
      </x:c>
      <x:c r="E68" s="488" t="str">
        <x:f>'原始订单'!D68</x:f>
        <x:v>小红书</x:v>
      </x:c>
      <x:c r="F68" s="488" t="str">
        <x:f>'原始订单'!E68</x:f>
        <x:v>轻量旅行杯</x:v>
      </x:c>
      <x:c r="G68" s="489" t="n">
        <x:f>'原始订单'!F68</x:f>
        <x:v>2</x:v>
      </x:c>
      <x:c r="H68" s="489" t="n">
        <x:f>'原始订单'!G68</x:f>
        <x:v>129</x:v>
      </x:c>
      <x:c r="I68" s="490" t="n">
        <x:f>'原始订单'!H68</x:f>
        <x:v>0.05</x:v>
      </x:c>
      <x:c r="J68" s="491" t="n">
        <x:f>'原始订单'!I68</x:f>
        <x:v>0</x:v>
      </x:c>
      <x:c r="K68" s="492" t="n">
        <x:f>'原始订单'!J68</x:f>
        <x:v>48</x:v>
      </x:c>
      <x:c r="L68" s="492" t="n">
        <x:f>G68*H68</x:f>
        <x:v>258</x:v>
      </x:c>
      <x:c r="M68" s="492" t="n">
        <x:f>L68*I68</x:f>
        <x:v>12.9</x:v>
      </x:c>
      <x:c r="N68" s="492" t="n">
        <x:f>(L68-M68)*J68</x:f>
        <x:v>0</x:v>
      </x:c>
      <x:c r="O68" s="492" t="n">
        <x:f>L68-M68-N68</x:f>
        <x:v>245.1</x:v>
      </x:c>
      <x:c r="P68" s="492" t="n">
        <x:f>G68*K68*(1-J68)</x:f>
        <x:v>96</x:v>
      </x:c>
      <x:c r="Q68" s="492" t="n">
        <x:f>O68-P68</x:f>
        <x:v>149.1</x:v>
      </x:c>
      <x:c r="R68" s="490" t="n">
        <x:f>IF(O68=0,0,Q68/O68)</x:f>
        <x:v>0.6083231334149327</x:v>
      </x:c>
      <x:c r="S68" s="488" t="str">
        <x:f>IF(J68=1,"退款",IF(I68&gt;=0.2,"高折扣","正常"))</x:f>
        <x:v>正常</x:v>
      </x:c>
    </x:row>
    <x:row r="69">
      <x:c r="A69" s="486" t="n">
        <x:f>'原始订单'!A69</x:f>
        <x:v>46175</x:v>
      </x:c>
      <x:c r="B69" s="487" t="n">
        <x:f>DATE(YEAR(A69),MONTH(A69),1)</x:f>
        <x:v>46174</x:v>
      </x:c>
      <x:c r="C69" s="488" t="str">
        <x:f>'原始订单'!B69</x:f>
        <x:v>D20260065</x:v>
      </x:c>
      <x:c r="D69" s="488" t="str">
        <x:f>'原始订单'!C69</x:f>
        <x:v>C1010</x:v>
      </x:c>
      <x:c r="E69" s="488" t="str">
        <x:f>'原始订单'!D69</x:f>
        <x:v>老客复购</x:v>
      </x:c>
      <x:c r="F69" s="488" t="str">
        <x:f>'原始订单'!E69</x:f>
        <x:v>无线标签机</x:v>
      </x:c>
      <x:c r="G69" s="489" t="n">
        <x:f>'原始订单'!F69</x:f>
        <x:v>1</x:v>
      </x:c>
      <x:c r="H69" s="489" t="n">
        <x:f>'原始订单'!G69</x:f>
        <x:v>239</x:v>
      </x:c>
      <x:c r="I69" s="490" t="n">
        <x:f>'原始订单'!H69</x:f>
        <x:v>0.05</x:v>
      </x:c>
      <x:c r="J69" s="491" t="n">
        <x:f>'原始订单'!I69</x:f>
        <x:v>0</x:v>
      </x:c>
      <x:c r="K69" s="492" t="n">
        <x:f>'原始订单'!J69</x:f>
        <x:v>118</x:v>
      </x:c>
      <x:c r="L69" s="492" t="n">
        <x:f>G69*H69</x:f>
        <x:v>239</x:v>
      </x:c>
      <x:c r="M69" s="492" t="n">
        <x:f>L69*I69</x:f>
        <x:v>11.950000000000001</x:v>
      </x:c>
      <x:c r="N69" s="492" t="n">
        <x:f>(L69-M69)*J69</x:f>
        <x:v>0</x:v>
      </x:c>
      <x:c r="O69" s="492" t="n">
        <x:f>L69-M69-N69</x:f>
        <x:v>227.05</x:v>
      </x:c>
      <x:c r="P69" s="492" t="n">
        <x:f>G69*K69*(1-J69)</x:f>
        <x:v>118</x:v>
      </x:c>
      <x:c r="Q69" s="492" t="n">
        <x:f>O69-P69</x:f>
        <x:v>109.05000000000001</x:v>
      </x:c>
      <x:c r="R69" s="490" t="n">
        <x:f>IF(O69=0,0,Q69/O69)</x:f>
        <x:v>0.48029068487117377</x:v>
      </x:c>
      <x:c r="S69" s="488" t="str">
        <x:f>IF(J69=1,"退款",IF(I69&gt;=0.2,"高折扣","正常"))</x:f>
        <x:v>正常</x:v>
      </x:c>
    </x:row>
    <x:row r="70">
      <x:c r="A70" s="486" t="n">
        <x:f>'原始订单'!A70</x:f>
        <x:v>46175</x:v>
      </x:c>
      <x:c r="B70" s="487" t="n">
        <x:f>DATE(YEAR(A70),MONTH(A70),1)</x:f>
        <x:v>46174</x:v>
      </x:c>
      <x:c r="C70" s="488" t="str">
        <x:f>'原始订单'!B70</x:f>
        <x:v>D20260066</x:v>
      </x:c>
      <x:c r="D70" s="488" t="str">
        <x:f>'原始订单'!C70</x:f>
        <x:v>C1082</x:v>
      </x:c>
      <x:c r="E70" s="488" t="str">
        <x:f>'原始订单'!D70</x:f>
        <x:v>自然搜索</x:v>
      </x:c>
      <x:c r="F70" s="488" t="str">
        <x:f>'原始订单'!E70</x:f>
        <x:v>便携补光灯</x:v>
      </x:c>
      <x:c r="G70" s="489" t="n">
        <x:f>'原始订单'!F70</x:f>
        <x:v>1</x:v>
      </x:c>
      <x:c r="H70" s="489" t="n">
        <x:f>'原始订单'!G70</x:f>
        <x:v>159</x:v>
      </x:c>
      <x:c r="I70" s="490" t="n">
        <x:f>'原始订单'!H70</x:f>
        <x:v>0.05</x:v>
      </x:c>
      <x:c r="J70" s="491" t="n">
        <x:f>'原始订单'!I70</x:f>
        <x:v>0</x:v>
      </x:c>
      <x:c r="K70" s="492" t="n">
        <x:f>'原始订单'!J70</x:f>
        <x:v>72</x:v>
      </x:c>
      <x:c r="L70" s="492" t="n">
        <x:f>G70*H70</x:f>
        <x:v>159</x:v>
      </x:c>
      <x:c r="M70" s="492" t="n">
        <x:f>L70*I70</x:f>
        <x:v>7.95</x:v>
      </x:c>
      <x:c r="N70" s="492" t="n">
        <x:f>(L70-M70)*J70</x:f>
        <x:v>0</x:v>
      </x:c>
      <x:c r="O70" s="492" t="n">
        <x:f>L70-M70-N70</x:f>
        <x:v>151.05</x:v>
      </x:c>
      <x:c r="P70" s="492" t="n">
        <x:f>G70*K70*(1-J70)</x:f>
        <x:v>72</x:v>
      </x:c>
      <x:c r="Q70" s="492" t="n">
        <x:f>O70-P70</x:f>
        <x:v>79.05000000000001</x:v>
      </x:c>
      <x:c r="R70" s="490" t="n">
        <x:f>IF(O70=0,0,Q70/O70)</x:f>
        <x:v>0.5233366434955313</x:v>
      </x:c>
      <x:c r="S70" s="488" t="str">
        <x:f>IF(J70=1,"退款",IF(I70&gt;=0.2,"高折扣","正常"))</x:f>
        <x:v>正常</x:v>
      </x:c>
    </x:row>
    <x:row r="71">
      <x:c r="A71" s="486" t="n">
        <x:f>'原始订单'!A71</x:f>
        <x:v>46176</x:v>
      </x:c>
      <x:c r="B71" s="487" t="n">
        <x:f>DATE(YEAR(A71),MONTH(A71),1)</x:f>
        <x:v>46174</x:v>
      </x:c>
      <x:c r="C71" s="488" t="str">
        <x:f>'原始订单'!B71</x:f>
        <x:v>D20260067</x:v>
      </x:c>
      <x:c r="D71" s="488" t="str">
        <x:f>'原始订单'!C71</x:f>
        <x:v>C1077</x:v>
      </x:c>
      <x:c r="E71" s="488" t="str">
        <x:f>'原始订单'!D71</x:f>
        <x:v>小红书</x:v>
      </x:c>
      <x:c r="F71" s="488" t="str">
        <x:f>'原始订单'!E71</x:f>
        <x:v>便携补光灯</x:v>
      </x:c>
      <x:c r="G71" s="489" t="n">
        <x:f>'原始订单'!F71</x:f>
        <x:v>2</x:v>
      </x:c>
      <x:c r="H71" s="489" t="n">
        <x:f>'原始订单'!G71</x:f>
        <x:v>159</x:v>
      </x:c>
      <x:c r="I71" s="490" t="n">
        <x:f>'原始订单'!H71</x:f>
        <x:v>0.05</x:v>
      </x:c>
      <x:c r="J71" s="491" t="n">
        <x:f>'原始订单'!I71</x:f>
        <x:v>1</x:v>
      </x:c>
      <x:c r="K71" s="492" t="n">
        <x:f>'原始订单'!J71</x:f>
        <x:v>72</x:v>
      </x:c>
      <x:c r="L71" s="492" t="n">
        <x:f>G71*H71</x:f>
        <x:v>318</x:v>
      </x:c>
      <x:c r="M71" s="492" t="n">
        <x:f>L71*I71</x:f>
        <x:v>15.9</x:v>
      </x:c>
      <x:c r="N71" s="492" t="n">
        <x:f>(L71-M71)*J71</x:f>
        <x:v>302.1</x:v>
      </x:c>
      <x:c r="O71" s="492" t="n">
        <x:f>L71-M71-N71</x:f>
        <x:v>0</x:v>
      </x:c>
      <x:c r="P71" s="492" t="n">
        <x:f>G71*K71*(1-J71)</x:f>
        <x:v>0</x:v>
      </x:c>
      <x:c r="Q71" s="492" t="n">
        <x:f>O71-P71</x:f>
        <x:v>0</x:v>
      </x:c>
      <x:c r="R71" s="490" t="n">
        <x:f>IF(O71=0,0,Q71/O71)</x:f>
        <x:v>0</x:v>
      </x:c>
      <x:c r="S71" s="488" t="str">
        <x:f>IF(J71=1,"退款",IF(I71&gt;=0.2,"高折扣","正常"))</x:f>
        <x:v>退款</x:v>
      </x:c>
    </x:row>
    <x:row r="72">
      <x:c r="A72" s="486" t="n">
        <x:f>'原始订单'!A72</x:f>
        <x:v>46176</x:v>
      </x:c>
      <x:c r="B72" s="487" t="n">
        <x:f>DATE(YEAR(A72),MONTH(A72),1)</x:f>
        <x:v>46174</x:v>
      </x:c>
      <x:c r="C72" s="488" t="str">
        <x:f>'原始订单'!B72</x:f>
        <x:v>D20260068</x:v>
      </x:c>
      <x:c r="D72" s="488" t="str">
        <x:f>'原始订单'!C72</x:f>
        <x:v>C1064</x:v>
      </x:c>
      <x:c r="E72" s="488" t="str">
        <x:f>'原始订单'!D72</x:f>
        <x:v>抖音广告</x:v>
      </x:c>
      <x:c r="F72" s="488" t="str">
        <x:f>'原始订单'!E72</x:f>
        <x:v>无线标签机</x:v>
      </x:c>
      <x:c r="G72" s="489" t="n">
        <x:f>'原始订单'!F72</x:f>
        <x:v>1</x:v>
      </x:c>
      <x:c r="H72" s="489" t="n">
        <x:f>'原始订单'!G72</x:f>
        <x:v>239</x:v>
      </x:c>
      <x:c r="I72" s="490" t="n">
        <x:f>'原始订单'!H72</x:f>
        <x:v>0.05</x:v>
      </x:c>
      <x:c r="J72" s="491" t="n">
        <x:f>'原始订单'!I72</x:f>
        <x:v>0</x:v>
      </x:c>
      <x:c r="K72" s="492" t="n">
        <x:f>'原始订单'!J72</x:f>
        <x:v>118</x:v>
      </x:c>
      <x:c r="L72" s="492" t="n">
        <x:f>G72*H72</x:f>
        <x:v>239</x:v>
      </x:c>
      <x:c r="M72" s="492" t="n">
        <x:f>L72*I72</x:f>
        <x:v>11.950000000000001</x:v>
      </x:c>
      <x:c r="N72" s="492" t="n">
        <x:f>(L72-M72)*J72</x:f>
        <x:v>0</x:v>
      </x:c>
      <x:c r="O72" s="492" t="n">
        <x:f>L72-M72-N72</x:f>
        <x:v>227.05</x:v>
      </x:c>
      <x:c r="P72" s="492" t="n">
        <x:f>G72*K72*(1-J72)</x:f>
        <x:v>118</x:v>
      </x:c>
      <x:c r="Q72" s="492" t="n">
        <x:f>O72-P72</x:f>
        <x:v>109.05000000000001</x:v>
      </x:c>
      <x:c r="R72" s="490" t="n">
        <x:f>IF(O72=0,0,Q72/O72)</x:f>
        <x:v>0.48029068487117377</x:v>
      </x:c>
      <x:c r="S72" s="488" t="str">
        <x:f>IF(J72=1,"退款",IF(I72&gt;=0.2,"高折扣","正常"))</x:f>
        <x:v>正常</x:v>
      </x:c>
    </x:row>
    <x:row r="73">
      <x:c r="A73" s="486" t="n">
        <x:f>'原始订单'!A73</x:f>
        <x:v>46176</x:v>
      </x:c>
      <x:c r="B73" s="487" t="n">
        <x:f>DATE(YEAR(A73),MONTH(A73),1)</x:f>
        <x:v>46174</x:v>
      </x:c>
      <x:c r="C73" s="488" t="str">
        <x:f>'原始订单'!B73</x:f>
        <x:v>D20260069</x:v>
      </x:c>
      <x:c r="D73" s="488" t="str">
        <x:f>'原始订单'!C73</x:f>
        <x:v>C1090</x:v>
      </x:c>
      <x:c r="E73" s="488" t="str">
        <x:f>'原始订单'!D73</x:f>
        <x:v>自然搜索</x:v>
      </x:c>
      <x:c r="F73" s="488" t="str">
        <x:f>'原始订单'!E73</x:f>
        <x:v>轻量旅行杯</x:v>
      </x:c>
      <x:c r="G73" s="489" t="n">
        <x:f>'原始订单'!F73</x:f>
        <x:v>1</x:v>
      </x:c>
      <x:c r="H73" s="489" t="n">
        <x:f>'原始订单'!G73</x:f>
        <x:v>129</x:v>
      </x:c>
      <x:c r="I73" s="490" t="n">
        <x:f>'原始订单'!H73</x:f>
        <x:v>0</x:v>
      </x:c>
      <x:c r="J73" s="491" t="n">
        <x:f>'原始订单'!I73</x:f>
        <x:v>0</x:v>
      </x:c>
      <x:c r="K73" s="492" t="n">
        <x:f>'原始订单'!J73</x:f>
        <x:v>48</x:v>
      </x:c>
      <x:c r="L73" s="492" t="n">
        <x:f>G73*H73</x:f>
        <x:v>129</x:v>
      </x:c>
      <x:c r="M73" s="492" t="n">
        <x:f>L73*I73</x:f>
        <x:v>0</x:v>
      </x:c>
      <x:c r="N73" s="492" t="n">
        <x:f>(L73-M73)*J73</x:f>
        <x:v>0</x:v>
      </x:c>
      <x:c r="O73" s="492" t="n">
        <x:f>L73-M73-N73</x:f>
        <x:v>129</x:v>
      </x:c>
      <x:c r="P73" s="492" t="n">
        <x:f>G73*K73*(1-J73)</x:f>
        <x:v>48</x:v>
      </x:c>
      <x:c r="Q73" s="492" t="n">
        <x:f>O73-P73</x:f>
        <x:v>81</x:v>
      </x:c>
      <x:c r="R73" s="490" t="n">
        <x:f>IF(O73=0,0,Q73/O73)</x:f>
        <x:v>0.627906976744186</x:v>
      </x:c>
      <x:c r="S73" s="488" t="str">
        <x:f>IF(J73=1,"退款",IF(I73&gt;=0.2,"高折扣","正常"))</x:f>
        <x:v>正常</x:v>
      </x:c>
    </x:row>
    <x:row r="74">
      <x:c r="A74" s="486" t="n">
        <x:f>'原始订单'!A74</x:f>
        <x:v>46176</x:v>
      </x:c>
      <x:c r="B74" s="487" t="n">
        <x:f>DATE(YEAR(A74),MONTH(A74),1)</x:f>
        <x:v>46174</x:v>
      </x:c>
      <x:c r="C74" s="488" t="str">
        <x:f>'原始订单'!B74</x:f>
        <x:v>D20260070</x:v>
      </x:c>
      <x:c r="D74" s="488" t="str">
        <x:f>'原始订单'!C74</x:f>
        <x:v>C1080</x:v>
      </x:c>
      <x:c r="E74" s="488" t="str">
        <x:f>'原始订单'!D74</x:f>
        <x:v>抖音广告</x:v>
      </x:c>
      <x:c r="F74" s="488" t="str">
        <x:f>'原始订单'!E74</x:f>
        <x:v>便携补光灯</x:v>
      </x:c>
      <x:c r="G74" s="489" t="n">
        <x:f>'原始订单'!F74</x:f>
        <x:v>1</x:v>
      </x:c>
      <x:c r="H74" s="489" t="n">
        <x:f>'原始订单'!G74</x:f>
        <x:v>159</x:v>
      </x:c>
      <x:c r="I74" s="490" t="n">
        <x:f>'原始订单'!H74</x:f>
        <x:v>0.1</x:v>
      </x:c>
      <x:c r="J74" s="491" t="n">
        <x:f>'原始订单'!I74</x:f>
        <x:v>0</x:v>
      </x:c>
      <x:c r="K74" s="492" t="n">
        <x:f>'原始订单'!J74</x:f>
        <x:v>72</x:v>
      </x:c>
      <x:c r="L74" s="492" t="n">
        <x:f>G74*H74</x:f>
        <x:v>159</x:v>
      </x:c>
      <x:c r="M74" s="492" t="n">
        <x:f>L74*I74</x:f>
        <x:v>15.9</x:v>
      </x:c>
      <x:c r="N74" s="492" t="n">
        <x:f>(L74-M74)*J74</x:f>
        <x:v>0</x:v>
      </x:c>
      <x:c r="O74" s="492" t="n">
        <x:f>L74-M74-N74</x:f>
        <x:v>143.1</x:v>
      </x:c>
      <x:c r="P74" s="492" t="n">
        <x:f>G74*K74*(1-J74)</x:f>
        <x:v>72</x:v>
      </x:c>
      <x:c r="Q74" s="492" t="n">
        <x:f>O74-P74</x:f>
        <x:v>71.1</x:v>
      </x:c>
      <x:c r="R74" s="490" t="n">
        <x:f>IF(O74=0,0,Q74/O74)</x:f>
        <x:v>0.4968553459119497</x:v>
      </x:c>
      <x:c r="S74" s="488" t="str">
        <x:f>IF(J74=1,"退款",IF(I74&gt;=0.2,"高折扣","正常"))</x:f>
        <x:v>正常</x:v>
      </x:c>
    </x:row>
    <x:row r="75">
      <x:c r="A75" s="486" t="n">
        <x:f>'原始订单'!A75</x:f>
        <x:v>46177</x:v>
      </x:c>
      <x:c r="B75" s="487" t="n">
        <x:f>DATE(YEAR(A75),MONTH(A75),1)</x:f>
        <x:v>46174</x:v>
      </x:c>
      <x:c r="C75" s="488" t="str">
        <x:f>'原始订单'!B75</x:f>
        <x:v>D20260071</x:v>
      </x:c>
      <x:c r="D75" s="488" t="str">
        <x:f>'原始订单'!C75</x:f>
        <x:v>C1053</x:v>
      </x:c>
      <x:c r="E75" s="488" t="str">
        <x:f>'原始订单'!D75</x:f>
        <x:v>抖音广告</x:v>
      </x:c>
      <x:c r="F75" s="488" t="str">
        <x:f>'原始订单'!E75</x:f>
        <x:v>桌面收纳架</x:v>
      </x:c>
      <x:c r="G75" s="489" t="n">
        <x:f>'原始订单'!F75</x:f>
        <x:v>1</x:v>
      </x:c>
      <x:c r="H75" s="489" t="n">
        <x:f>'原始订单'!G75</x:f>
        <x:v>89</x:v>
      </x:c>
      <x:c r="I75" s="490" t="n">
        <x:f>'原始订单'!H75</x:f>
        <x:v>0</x:v>
      </x:c>
      <x:c r="J75" s="491" t="n">
        <x:f>'原始订单'!I75</x:f>
        <x:v>0</x:v>
      </x:c>
      <x:c r="K75" s="492" t="n">
        <x:f>'原始订单'!J75</x:f>
        <x:v>32</x:v>
      </x:c>
      <x:c r="L75" s="492" t="n">
        <x:f>G75*H75</x:f>
        <x:v>89</x:v>
      </x:c>
      <x:c r="M75" s="492" t="n">
        <x:f>L75*I75</x:f>
        <x:v>0</x:v>
      </x:c>
      <x:c r="N75" s="492" t="n">
        <x:f>(L75-M75)*J75</x:f>
        <x:v>0</x:v>
      </x:c>
      <x:c r="O75" s="492" t="n">
        <x:f>L75-M75-N75</x:f>
        <x:v>89</x:v>
      </x:c>
      <x:c r="P75" s="492" t="n">
        <x:f>G75*K75*(1-J75)</x:f>
        <x:v>32</x:v>
      </x:c>
      <x:c r="Q75" s="492" t="n">
        <x:f>O75-P75</x:f>
        <x:v>57</x:v>
      </x:c>
      <x:c r="R75" s="490" t="n">
        <x:f>IF(O75=0,0,Q75/O75)</x:f>
        <x:v>0.6404494382022472</x:v>
      </x:c>
      <x:c r="S75" s="488" t="str">
        <x:f>IF(J75=1,"退款",IF(I75&gt;=0.2,"高折扣","正常"))</x:f>
        <x:v>正常</x:v>
      </x:c>
    </x:row>
    <x:row r="76">
      <x:c r="A76" s="486" t="n">
        <x:f>'原始订单'!A76</x:f>
        <x:v>46178</x:v>
      </x:c>
      <x:c r="B76" s="487" t="n">
        <x:f>DATE(YEAR(A76),MONTH(A76),1)</x:f>
        <x:v>46174</x:v>
      </x:c>
      <x:c r="C76" s="488" t="str">
        <x:f>'原始订单'!B76</x:f>
        <x:v>D20260072</x:v>
      </x:c>
      <x:c r="D76" s="488" t="str">
        <x:f>'原始订单'!C76</x:f>
        <x:v>C1040</x:v>
      </x:c>
      <x:c r="E76" s="488" t="str">
        <x:f>'原始订单'!D76</x:f>
        <x:v>老客复购</x:v>
      </x:c>
      <x:c r="F76" s="488" t="str">
        <x:f>'原始订单'!E76</x:f>
        <x:v>桌面收纳架</x:v>
      </x:c>
      <x:c r="G76" s="489" t="n">
        <x:f>'原始订单'!F76</x:f>
        <x:v>1</x:v>
      </x:c>
      <x:c r="H76" s="489" t="n">
        <x:f>'原始订单'!G76</x:f>
        <x:v>89</x:v>
      </x:c>
      <x:c r="I76" s="490" t="n">
        <x:f>'原始订单'!H76</x:f>
        <x:v>0.05</x:v>
      </x:c>
      <x:c r="J76" s="491" t="n">
        <x:f>'原始订单'!I76</x:f>
        <x:v>0</x:v>
      </x:c>
      <x:c r="K76" s="492" t="n">
        <x:f>'原始订单'!J76</x:f>
        <x:v>32</x:v>
      </x:c>
      <x:c r="L76" s="492" t="n">
        <x:f>G76*H76</x:f>
        <x:v>89</x:v>
      </x:c>
      <x:c r="M76" s="492" t="n">
        <x:f>L76*I76</x:f>
        <x:v>4.45</x:v>
      </x:c>
      <x:c r="N76" s="492" t="n">
        <x:f>(L76-M76)*J76</x:f>
        <x:v>0</x:v>
      </x:c>
      <x:c r="O76" s="492" t="n">
        <x:f>L76-M76-N76</x:f>
        <x:v>84.55</x:v>
      </x:c>
      <x:c r="P76" s="492" t="n">
        <x:f>G76*K76*(1-J76)</x:f>
        <x:v>32</x:v>
      </x:c>
      <x:c r="Q76" s="492" t="n">
        <x:f>O76-P76</x:f>
        <x:v>52.55</x:v>
      </x:c>
      <x:c r="R76" s="490" t="n">
        <x:f>IF(O76=0,0,Q76/O76)</x:f>
        <x:v>0.6215257244234181</x:v>
      </x:c>
      <x:c r="S76" s="488" t="str">
        <x:f>IF(J76=1,"退款",IF(I76&gt;=0.2,"高折扣","正常"))</x:f>
        <x:v>正常</x:v>
      </x:c>
    </x:row>
    <x:row r="77">
      <x:c r="A77" s="486" t="n">
        <x:f>'原始订单'!A77</x:f>
        <x:v>46178</x:v>
      </x:c>
      <x:c r="B77" s="487" t="n">
        <x:f>DATE(YEAR(A77),MONTH(A77),1)</x:f>
        <x:v>46174</x:v>
      </x:c>
      <x:c r="C77" s="488" t="str">
        <x:f>'原始订单'!B77</x:f>
        <x:v>D20260073</x:v>
      </x:c>
      <x:c r="D77" s="488" t="str">
        <x:f>'原始订单'!C77</x:f>
        <x:v>C1067</x:v>
      </x:c>
      <x:c r="E77" s="488" t="str">
        <x:f>'原始订单'!D77</x:f>
        <x:v>自然搜索</x:v>
      </x:c>
      <x:c r="F77" s="488" t="str">
        <x:f>'原始订单'!E77</x:f>
        <x:v>轻量旅行杯</x:v>
      </x:c>
      <x:c r="G77" s="489" t="n">
        <x:f>'原始订单'!F77</x:f>
        <x:v>1</x:v>
      </x:c>
      <x:c r="H77" s="489" t="n">
        <x:f>'原始订单'!G77</x:f>
        <x:v>129</x:v>
      </x:c>
      <x:c r="I77" s="490" t="n">
        <x:f>'原始订单'!H77</x:f>
        <x:v>0</x:v>
      </x:c>
      <x:c r="J77" s="491" t="n">
        <x:f>'原始订单'!I77</x:f>
        <x:v>0</x:v>
      </x:c>
      <x:c r="K77" s="492" t="n">
        <x:f>'原始订单'!J77</x:f>
        <x:v>48</x:v>
      </x:c>
      <x:c r="L77" s="492" t="n">
        <x:f>G77*H77</x:f>
        <x:v>129</x:v>
      </x:c>
      <x:c r="M77" s="492" t="n">
        <x:f>L77*I77</x:f>
        <x:v>0</x:v>
      </x:c>
      <x:c r="N77" s="492" t="n">
        <x:f>(L77-M77)*J77</x:f>
        <x:v>0</x:v>
      </x:c>
      <x:c r="O77" s="492" t="n">
        <x:f>L77-M77-N77</x:f>
        <x:v>129</x:v>
      </x:c>
      <x:c r="P77" s="492" t="n">
        <x:f>G77*K77*(1-J77)</x:f>
        <x:v>48</x:v>
      </x:c>
      <x:c r="Q77" s="492" t="n">
        <x:f>O77-P77</x:f>
        <x:v>81</x:v>
      </x:c>
      <x:c r="R77" s="490" t="n">
        <x:f>IF(O77=0,0,Q77/O77)</x:f>
        <x:v>0.627906976744186</x:v>
      </x:c>
      <x:c r="S77" s="488" t="str">
        <x:f>IF(J77=1,"退款",IF(I77&gt;=0.2,"高折扣","正常"))</x:f>
        <x:v>正常</x:v>
      </x:c>
    </x:row>
    <x:row r="78">
      <x:c r="A78" s="486" t="n">
        <x:f>'原始订单'!A78</x:f>
        <x:v>46178</x:v>
      </x:c>
      <x:c r="B78" s="487" t="n">
        <x:f>DATE(YEAR(A78),MONTH(A78),1)</x:f>
        <x:v>46174</x:v>
      </x:c>
      <x:c r="C78" s="488" t="str">
        <x:f>'原始订单'!B78</x:f>
        <x:v>D20260074</x:v>
      </x:c>
      <x:c r="D78" s="488" t="str">
        <x:f>'原始订单'!C78</x:f>
        <x:v>C1014</x:v>
      </x:c>
      <x:c r="E78" s="488" t="str">
        <x:f>'原始订单'!D78</x:f>
        <x:v>抖音广告</x:v>
      </x:c>
      <x:c r="F78" s="488" t="str">
        <x:f>'原始订单'!E78</x:f>
        <x:v>桌面收纳架</x:v>
      </x:c>
      <x:c r="G78" s="489" t="n">
        <x:f>'原始订单'!F78</x:f>
        <x:v>1</x:v>
      </x:c>
      <x:c r="H78" s="489" t="n">
        <x:f>'原始订单'!G78</x:f>
        <x:v>89</x:v>
      </x:c>
      <x:c r="I78" s="490" t="n">
        <x:f>'原始订单'!H78</x:f>
        <x:v>0</x:v>
      </x:c>
      <x:c r="J78" s="491" t="n">
        <x:f>'原始订单'!I78</x:f>
        <x:v>0</x:v>
      </x:c>
      <x:c r="K78" s="492" t="n">
        <x:f>'原始订单'!J78</x:f>
        <x:v>32</x:v>
      </x:c>
      <x:c r="L78" s="492" t="n">
        <x:f>G78*H78</x:f>
        <x:v>89</x:v>
      </x:c>
      <x:c r="M78" s="492" t="n">
        <x:f>L78*I78</x:f>
        <x:v>0</x:v>
      </x:c>
      <x:c r="N78" s="492" t="n">
        <x:f>(L78-M78)*J78</x:f>
        <x:v>0</x:v>
      </x:c>
      <x:c r="O78" s="492" t="n">
        <x:f>L78-M78-N78</x:f>
        <x:v>89</x:v>
      </x:c>
      <x:c r="P78" s="492" t="n">
        <x:f>G78*K78*(1-J78)</x:f>
        <x:v>32</x:v>
      </x:c>
      <x:c r="Q78" s="492" t="n">
        <x:f>O78-P78</x:f>
        <x:v>57</x:v>
      </x:c>
      <x:c r="R78" s="490" t="n">
        <x:f>IF(O78=0,0,Q78/O78)</x:f>
        <x:v>0.6404494382022472</x:v>
      </x:c>
      <x:c r="S78" s="488" t="str">
        <x:f>IF(J78=1,"退款",IF(I78&gt;=0.2,"高折扣","正常"))</x:f>
        <x:v>正常</x:v>
      </x:c>
    </x:row>
    <x:row r="79">
      <x:c r="A79" s="486" t="n">
        <x:f>'原始订单'!A79</x:f>
        <x:v>46179</x:v>
      </x:c>
      <x:c r="B79" s="487" t="n">
        <x:f>DATE(YEAR(A79),MONTH(A79),1)</x:f>
        <x:v>46174</x:v>
      </x:c>
      <x:c r="C79" s="488" t="str">
        <x:f>'原始订单'!B79</x:f>
        <x:v>D20260075</x:v>
      </x:c>
      <x:c r="D79" s="488" t="str">
        <x:f>'原始订单'!C79</x:f>
        <x:v>C1037</x:v>
      </x:c>
      <x:c r="E79" s="488" t="str">
        <x:f>'原始订单'!D79</x:f>
        <x:v>老客复购</x:v>
      </x:c>
      <x:c r="F79" s="488" t="str">
        <x:f>'原始订单'!E79</x:f>
        <x:v>桌面收纳架</x:v>
      </x:c>
      <x:c r="G79" s="489" t="n">
        <x:f>'原始订单'!F79</x:f>
        <x:v>1</x:v>
      </x:c>
      <x:c r="H79" s="489" t="n">
        <x:f>'原始订单'!G79</x:f>
        <x:v>89</x:v>
      </x:c>
      <x:c r="I79" s="490" t="n">
        <x:f>'原始订单'!H79</x:f>
        <x:v>0.1</x:v>
      </x:c>
      <x:c r="J79" s="491" t="n">
        <x:f>'原始订单'!I79</x:f>
        <x:v>0</x:v>
      </x:c>
      <x:c r="K79" s="492" t="n">
        <x:f>'原始订单'!J79</x:f>
        <x:v>32</x:v>
      </x:c>
      <x:c r="L79" s="492" t="n">
        <x:f>G79*H79</x:f>
        <x:v>89</x:v>
      </x:c>
      <x:c r="M79" s="492" t="n">
        <x:f>L79*I79</x:f>
        <x:v>8.9</x:v>
      </x:c>
      <x:c r="N79" s="492" t="n">
        <x:f>(L79-M79)*J79</x:f>
        <x:v>0</x:v>
      </x:c>
      <x:c r="O79" s="492" t="n">
        <x:f>L79-M79-N79</x:f>
        <x:v>80.1</x:v>
      </x:c>
      <x:c r="P79" s="492" t="n">
        <x:f>G79*K79*(1-J79)</x:f>
        <x:v>32</x:v>
      </x:c>
      <x:c r="Q79" s="492" t="n">
        <x:f>O79-P79</x:f>
        <x:v>48.099999999999994</x:v>
      </x:c>
      <x:c r="R79" s="490" t="n">
        <x:f>IF(O79=0,0,Q79/O79)</x:f>
        <x:v>0.6004993757802747</x:v>
      </x:c>
      <x:c r="S79" s="488" t="str">
        <x:f>IF(J79=1,"退款",IF(I79&gt;=0.2,"高折扣","正常"))</x:f>
        <x:v>正常</x:v>
      </x:c>
    </x:row>
    <x:row r="80">
      <x:c r="A80" s="486" t="n">
        <x:f>'原始订单'!A80</x:f>
        <x:v>46179</x:v>
      </x:c>
      <x:c r="B80" s="487" t="n">
        <x:f>DATE(YEAR(A80),MONTH(A80),1)</x:f>
        <x:v>46174</x:v>
      </x:c>
      <x:c r="C80" s="488" t="str">
        <x:f>'原始订单'!B80</x:f>
        <x:v>D20260076</x:v>
      </x:c>
      <x:c r="D80" s="488" t="str">
        <x:f>'原始订单'!C80</x:f>
        <x:v>C1131</x:v>
      </x:c>
      <x:c r="E80" s="488" t="str">
        <x:f>'原始订单'!D80</x:f>
        <x:v>小红书</x:v>
      </x:c>
      <x:c r="F80" s="488" t="str">
        <x:f>'原始订单'!E80</x:f>
        <x:v>桌面收纳架</x:v>
      </x:c>
      <x:c r="G80" s="489" t="n">
        <x:f>'原始订单'!F80</x:f>
        <x:v>1</x:v>
      </x:c>
      <x:c r="H80" s="489" t="n">
        <x:f>'原始订单'!G80</x:f>
        <x:v>89</x:v>
      </x:c>
      <x:c r="I80" s="490" t="n">
        <x:f>'原始订单'!H80</x:f>
        <x:v>0</x:v>
      </x:c>
      <x:c r="J80" s="491" t="n">
        <x:f>'原始订单'!I80</x:f>
        <x:v>0</x:v>
      </x:c>
      <x:c r="K80" s="492" t="n">
        <x:f>'原始订单'!J80</x:f>
        <x:v>32</x:v>
      </x:c>
      <x:c r="L80" s="492" t="n">
        <x:f>G80*H80</x:f>
        <x:v>89</x:v>
      </x:c>
      <x:c r="M80" s="492" t="n">
        <x:f>L80*I80</x:f>
        <x:v>0</x:v>
      </x:c>
      <x:c r="N80" s="492" t="n">
        <x:f>(L80-M80)*J80</x:f>
        <x:v>0</x:v>
      </x:c>
      <x:c r="O80" s="492" t="n">
        <x:f>L80-M80-N80</x:f>
        <x:v>89</x:v>
      </x:c>
      <x:c r="P80" s="492" t="n">
        <x:f>G80*K80*(1-J80)</x:f>
        <x:v>32</x:v>
      </x:c>
      <x:c r="Q80" s="492" t="n">
        <x:f>O80-P80</x:f>
        <x:v>57</x:v>
      </x:c>
      <x:c r="R80" s="490" t="n">
        <x:f>IF(O80=0,0,Q80/O80)</x:f>
        <x:v>0.6404494382022472</x:v>
      </x:c>
      <x:c r="S80" s="488" t="str">
        <x:f>IF(J80=1,"退款",IF(I80&gt;=0.2,"高折扣","正常"))</x:f>
        <x:v>正常</x:v>
      </x:c>
    </x:row>
    <x:row r="81">
      <x:c r="A81" s="486" t="n">
        <x:f>'原始订单'!A81</x:f>
        <x:v>46180</x:v>
      </x:c>
      <x:c r="B81" s="487" t="n">
        <x:f>DATE(YEAR(A81),MONTH(A81),1)</x:f>
        <x:v>46174</x:v>
      </x:c>
      <x:c r="C81" s="488" t="str">
        <x:f>'原始订单'!B81</x:f>
        <x:v>D20260077</x:v>
      </x:c>
      <x:c r="D81" s="488" t="str">
        <x:f>'原始订单'!C81</x:f>
        <x:v>C1132</x:v>
      </x:c>
      <x:c r="E81" s="488" t="str">
        <x:f>'原始订单'!D81</x:f>
        <x:v>抖音广告</x:v>
      </x:c>
      <x:c r="F81" s="488" t="str">
        <x:f>'原始订单'!E81</x:f>
        <x:v>桌面收纳架</x:v>
      </x:c>
      <x:c r="G81" s="489" t="n">
        <x:f>'原始订单'!F81</x:f>
        <x:v>2</x:v>
      </x:c>
      <x:c r="H81" s="489" t="n">
        <x:f>'原始订单'!G81</x:f>
        <x:v>89</x:v>
      </x:c>
      <x:c r="I81" s="490" t="n">
        <x:f>'原始订单'!H81</x:f>
        <x:v>0</x:v>
      </x:c>
      <x:c r="J81" s="491" t="n">
        <x:f>'原始订单'!I81</x:f>
        <x:v>0</x:v>
      </x:c>
      <x:c r="K81" s="492" t="n">
        <x:f>'原始订单'!J81</x:f>
        <x:v>32</x:v>
      </x:c>
      <x:c r="L81" s="492" t="n">
        <x:f>G81*H81</x:f>
        <x:v>178</x:v>
      </x:c>
      <x:c r="M81" s="492" t="n">
        <x:f>L81*I81</x:f>
        <x:v>0</x:v>
      </x:c>
      <x:c r="N81" s="492" t="n">
        <x:f>(L81-M81)*J81</x:f>
        <x:v>0</x:v>
      </x:c>
      <x:c r="O81" s="492" t="n">
        <x:f>L81-M81-N81</x:f>
        <x:v>178</x:v>
      </x:c>
      <x:c r="P81" s="492" t="n">
        <x:f>G81*K81*(1-J81)</x:f>
        <x:v>64</x:v>
      </x:c>
      <x:c r="Q81" s="492" t="n">
        <x:f>O81-P81</x:f>
        <x:v>114</x:v>
      </x:c>
      <x:c r="R81" s="490" t="n">
        <x:f>IF(O81=0,0,Q81/O81)</x:f>
        <x:v>0.6404494382022472</x:v>
      </x:c>
      <x:c r="S81" s="488" t="str">
        <x:f>IF(J81=1,"退款",IF(I81&gt;=0.2,"高折扣","正常"))</x:f>
        <x:v>正常</x:v>
      </x:c>
    </x:row>
    <x:row r="82">
      <x:c r="A82" s="486" t="n">
        <x:f>'原始订单'!A82</x:f>
        <x:v>46180</x:v>
      </x:c>
      <x:c r="B82" s="487" t="n">
        <x:f>DATE(YEAR(A82),MONTH(A82),1)</x:f>
        <x:v>46174</x:v>
      </x:c>
      <x:c r="C82" s="488" t="str">
        <x:f>'原始订单'!B82</x:f>
        <x:v>D20260078</x:v>
      </x:c>
      <x:c r="D82" s="488" t="str">
        <x:f>'原始订单'!C82</x:f>
        <x:v>C1029</x:v>
      </x:c>
      <x:c r="E82" s="488" t="str">
        <x:f>'原始订单'!D82</x:f>
        <x:v>老客复购</x:v>
      </x:c>
      <x:c r="F82" s="488" t="str">
        <x:f>'原始订单'!E82</x:f>
        <x:v>桌面收纳架</x:v>
      </x:c>
      <x:c r="G82" s="489" t="n">
        <x:f>'原始订单'!F82</x:f>
        <x:v>2</x:v>
      </x:c>
      <x:c r="H82" s="489" t="n">
        <x:f>'原始订单'!G82</x:f>
        <x:v>89</x:v>
      </x:c>
      <x:c r="I82" s="490" t="n">
        <x:f>'原始订单'!H82</x:f>
        <x:v>0.1</x:v>
      </x:c>
      <x:c r="J82" s="491" t="n">
        <x:f>'原始订单'!I82</x:f>
        <x:v>0</x:v>
      </x:c>
      <x:c r="K82" s="492" t="n">
        <x:f>'原始订单'!J82</x:f>
        <x:v>32</x:v>
      </x:c>
      <x:c r="L82" s="492" t="n">
        <x:f>G82*H82</x:f>
        <x:v>178</x:v>
      </x:c>
      <x:c r="M82" s="492" t="n">
        <x:f>L82*I82</x:f>
        <x:v>17.8</x:v>
      </x:c>
      <x:c r="N82" s="492" t="n">
        <x:f>(L82-M82)*J82</x:f>
        <x:v>0</x:v>
      </x:c>
      <x:c r="O82" s="492" t="n">
        <x:f>L82-M82-N82</x:f>
        <x:v>160.2</x:v>
      </x:c>
      <x:c r="P82" s="492" t="n">
        <x:f>G82*K82*(1-J82)</x:f>
        <x:v>64</x:v>
      </x:c>
      <x:c r="Q82" s="492" t="n">
        <x:f>O82-P82</x:f>
        <x:v>96.19999999999999</x:v>
      </x:c>
      <x:c r="R82" s="490" t="n">
        <x:f>IF(O82=0,0,Q82/O82)</x:f>
        <x:v>0.6004993757802747</x:v>
      </x:c>
      <x:c r="S82" s="488" t="str">
        <x:f>IF(J82=1,"退款",IF(I82&gt;=0.2,"高折扣","正常"))</x:f>
        <x:v>正常</x:v>
      </x:c>
    </x:row>
    <x:row r="83">
      <x:c r="A83" s="486" t="n">
        <x:f>'原始订单'!A83</x:f>
        <x:v>46181</x:v>
      </x:c>
      <x:c r="B83" s="487" t="n">
        <x:f>DATE(YEAR(A83),MONTH(A83),1)</x:f>
        <x:v>46174</x:v>
      </x:c>
      <x:c r="C83" s="488" t="str">
        <x:f>'原始订单'!B83</x:f>
        <x:v>D20260079</x:v>
      </x:c>
      <x:c r="D83" s="488" t="str">
        <x:f>'原始订单'!C83</x:f>
        <x:v>C1002</x:v>
      </x:c>
      <x:c r="E83" s="488" t="str">
        <x:f>'原始订单'!D83</x:f>
        <x:v>小红书</x:v>
      </x:c>
      <x:c r="F83" s="488" t="str">
        <x:f>'原始订单'!E83</x:f>
        <x:v>无线标签机</x:v>
      </x:c>
      <x:c r="G83" s="489" t="n">
        <x:f>'原始订单'!F83</x:f>
        <x:v>2</x:v>
      </x:c>
      <x:c r="H83" s="489" t="n">
        <x:f>'原始订单'!G83</x:f>
        <x:v>239</x:v>
      </x:c>
      <x:c r="I83" s="490" t="n">
        <x:f>'原始订单'!H83</x:f>
        <x:v>0.1</x:v>
      </x:c>
      <x:c r="J83" s="491" t="n">
        <x:f>'原始订单'!I83</x:f>
        <x:v>0</x:v>
      </x:c>
      <x:c r="K83" s="492" t="n">
        <x:f>'原始订单'!J83</x:f>
        <x:v>118</x:v>
      </x:c>
      <x:c r="L83" s="492" t="n">
        <x:f>G83*H83</x:f>
        <x:v>478</x:v>
      </x:c>
      <x:c r="M83" s="492" t="n">
        <x:f>L83*I83</x:f>
        <x:v>47.800000000000004</x:v>
      </x:c>
      <x:c r="N83" s="492" t="n">
        <x:f>(L83-M83)*J83</x:f>
        <x:v>0</x:v>
      </x:c>
      <x:c r="O83" s="492" t="n">
        <x:f>L83-M83-N83</x:f>
        <x:v>430.2</x:v>
      </x:c>
      <x:c r="P83" s="492" t="n">
        <x:f>G83*K83*(1-J83)</x:f>
        <x:v>236</x:v>
      </x:c>
      <x:c r="Q83" s="492" t="n">
        <x:f>O83-P83</x:f>
        <x:v>194.2</x:v>
      </x:c>
      <x:c r="R83" s="490" t="n">
        <x:f>IF(O83=0,0,Q83/O83)</x:f>
        <x:v>0.4514179451417945</x:v>
      </x:c>
      <x:c r="S83" s="488" t="str">
        <x:f>IF(J83=1,"退款",IF(I83&gt;=0.2,"高折扣","正常"))</x:f>
        <x:v>正常</x:v>
      </x:c>
    </x:row>
    <x:row r="84">
      <x:c r="A84" s="486" t="n">
        <x:f>'原始订单'!A84</x:f>
        <x:v>46181</x:v>
      </x:c>
      <x:c r="B84" s="487" t="n">
        <x:f>DATE(YEAR(A84),MONTH(A84),1)</x:f>
        <x:v>46174</x:v>
      </x:c>
      <x:c r="C84" s="488" t="str">
        <x:f>'原始订单'!B84</x:f>
        <x:v>D20260080</x:v>
      </x:c>
      <x:c r="D84" s="488" t="str">
        <x:f>'原始订单'!C84</x:f>
        <x:v>C1018</x:v>
      </x:c>
      <x:c r="E84" s="488" t="str">
        <x:f>'原始订单'!D84</x:f>
        <x:v>老客复购</x:v>
      </x:c>
      <x:c r="F84" s="488" t="str">
        <x:f>'原始订单'!E84</x:f>
        <x:v>无线标签机</x:v>
      </x:c>
      <x:c r="G84" s="489" t="n">
        <x:f>'原始订单'!F84</x:f>
        <x:v>1</x:v>
      </x:c>
      <x:c r="H84" s="489" t="n">
        <x:f>'原始订单'!G84</x:f>
        <x:v>239</x:v>
      </x:c>
      <x:c r="I84" s="490" t="n">
        <x:f>'原始订单'!H84</x:f>
        <x:v>0.1</x:v>
      </x:c>
      <x:c r="J84" s="491" t="n">
        <x:f>'原始订单'!I84</x:f>
        <x:v>0</x:v>
      </x:c>
      <x:c r="K84" s="492" t="n">
        <x:f>'原始订单'!J84</x:f>
        <x:v>118</x:v>
      </x:c>
      <x:c r="L84" s="492" t="n">
        <x:f>G84*H84</x:f>
        <x:v>239</x:v>
      </x:c>
      <x:c r="M84" s="492" t="n">
        <x:f>L84*I84</x:f>
        <x:v>23.900000000000002</x:v>
      </x:c>
      <x:c r="N84" s="492" t="n">
        <x:f>(L84-M84)*J84</x:f>
        <x:v>0</x:v>
      </x:c>
      <x:c r="O84" s="492" t="n">
        <x:f>L84-M84-N84</x:f>
        <x:v>215.1</x:v>
      </x:c>
      <x:c r="P84" s="492" t="n">
        <x:f>G84*K84*(1-J84)</x:f>
        <x:v>118</x:v>
      </x:c>
      <x:c r="Q84" s="492" t="n">
        <x:f>O84-P84</x:f>
        <x:v>97.1</x:v>
      </x:c>
      <x:c r="R84" s="490" t="n">
        <x:f>IF(O84=0,0,Q84/O84)</x:f>
        <x:v>0.4514179451417945</x:v>
      </x:c>
      <x:c r="S84" s="488" t="str">
        <x:f>IF(J84=1,"退款",IF(I84&gt;=0.2,"高折扣","正常"))</x:f>
        <x:v>正常</x:v>
      </x:c>
    </x:row>
    <x:row r="85">
      <x:c r="A85" s="486" t="n">
        <x:f>'原始订单'!A85</x:f>
        <x:v>46182</x:v>
      </x:c>
      <x:c r="B85" s="487" t="n">
        <x:f>DATE(YEAR(A85),MONTH(A85),1)</x:f>
        <x:v>46174</x:v>
      </x:c>
      <x:c r="C85" s="488" t="str">
        <x:f>'原始订单'!B85</x:f>
        <x:v>D20260081</x:v>
      </x:c>
      <x:c r="D85" s="488" t="str">
        <x:f>'原始订单'!C85</x:f>
        <x:v>C1024</x:v>
      </x:c>
      <x:c r="E85" s="488" t="str">
        <x:f>'原始订单'!D85</x:f>
        <x:v>小红书</x:v>
      </x:c>
      <x:c r="F85" s="488" t="str">
        <x:f>'原始订单'!E85</x:f>
        <x:v>无线标签机</x:v>
      </x:c>
      <x:c r="G85" s="489" t="n">
        <x:f>'原始订单'!F85</x:f>
        <x:v>1</x:v>
      </x:c>
      <x:c r="H85" s="489" t="n">
        <x:f>'原始订单'!G85</x:f>
        <x:v>239</x:v>
      </x:c>
      <x:c r="I85" s="490" t="n">
        <x:f>'原始订单'!H85</x:f>
        <x:v>0</x:v>
      </x:c>
      <x:c r="J85" s="491" t="n">
        <x:f>'原始订单'!I85</x:f>
        <x:v>0</x:v>
      </x:c>
      <x:c r="K85" s="492" t="n">
        <x:f>'原始订单'!J85</x:f>
        <x:v>118</x:v>
      </x:c>
      <x:c r="L85" s="492" t="n">
        <x:f>G85*H85</x:f>
        <x:v>239</x:v>
      </x:c>
      <x:c r="M85" s="492" t="n">
        <x:f>L85*I85</x:f>
        <x:v>0</x:v>
      </x:c>
      <x:c r="N85" s="492" t="n">
        <x:f>(L85-M85)*J85</x:f>
        <x:v>0</x:v>
      </x:c>
      <x:c r="O85" s="492" t="n">
        <x:f>L85-M85-N85</x:f>
        <x:v>239</x:v>
      </x:c>
      <x:c r="P85" s="492" t="n">
        <x:f>G85*K85*(1-J85)</x:f>
        <x:v>118</x:v>
      </x:c>
      <x:c r="Q85" s="492" t="n">
        <x:f>O85-P85</x:f>
        <x:v>121</x:v>
      </x:c>
      <x:c r="R85" s="490" t="n">
        <x:f>IF(O85=0,0,Q85/O85)</x:f>
        <x:v>0.5062761506276151</x:v>
      </x:c>
      <x:c r="S85" s="488" t="str">
        <x:f>IF(J85=1,"退款",IF(I85&gt;=0.2,"高折扣","正常"))</x:f>
        <x:v>正常</x:v>
      </x:c>
    </x:row>
    <x:row r="86">
      <x:c r="A86" s="486" t="n">
        <x:f>'原始订单'!A86</x:f>
        <x:v>46182</x:v>
      </x:c>
      <x:c r="B86" s="487" t="n">
        <x:f>DATE(YEAR(A86),MONTH(A86),1)</x:f>
        <x:v>46174</x:v>
      </x:c>
      <x:c r="C86" s="488" t="str">
        <x:f>'原始订单'!B86</x:f>
        <x:v>D20260082</x:v>
      </x:c>
      <x:c r="D86" s="488" t="str">
        <x:f>'原始订单'!C86</x:f>
        <x:v>C1126</x:v>
      </x:c>
      <x:c r="E86" s="488" t="str">
        <x:f>'原始订单'!D86</x:f>
        <x:v>抖音广告</x:v>
      </x:c>
      <x:c r="F86" s="488" t="str">
        <x:f>'原始订单'!E86</x:f>
        <x:v>轻量旅行杯</x:v>
      </x:c>
      <x:c r="G86" s="489" t="n">
        <x:f>'原始订单'!F86</x:f>
        <x:v>1</x:v>
      </x:c>
      <x:c r="H86" s="489" t="n">
        <x:f>'原始订单'!G86</x:f>
        <x:v>129</x:v>
      </x:c>
      <x:c r="I86" s="490" t="n">
        <x:f>'原始订单'!H86</x:f>
        <x:v>0</x:v>
      </x:c>
      <x:c r="J86" s="491" t="n">
        <x:f>'原始订单'!I86</x:f>
        <x:v>0</x:v>
      </x:c>
      <x:c r="K86" s="492" t="n">
        <x:f>'原始订单'!J86</x:f>
        <x:v>48</x:v>
      </x:c>
      <x:c r="L86" s="492" t="n">
        <x:f>G86*H86</x:f>
        <x:v>129</x:v>
      </x:c>
      <x:c r="M86" s="492" t="n">
        <x:f>L86*I86</x:f>
        <x:v>0</x:v>
      </x:c>
      <x:c r="N86" s="492" t="n">
        <x:f>(L86-M86)*J86</x:f>
        <x:v>0</x:v>
      </x:c>
      <x:c r="O86" s="492" t="n">
        <x:f>L86-M86-N86</x:f>
        <x:v>129</x:v>
      </x:c>
      <x:c r="P86" s="492" t="n">
        <x:f>G86*K86*(1-J86)</x:f>
        <x:v>48</x:v>
      </x:c>
      <x:c r="Q86" s="492" t="n">
        <x:f>O86-P86</x:f>
        <x:v>81</x:v>
      </x:c>
      <x:c r="R86" s="490" t="n">
        <x:f>IF(O86=0,0,Q86/O86)</x:f>
        <x:v>0.627906976744186</x:v>
      </x:c>
      <x:c r="S86" s="488" t="str">
        <x:f>IF(J86=1,"退款",IF(I86&gt;=0.2,"高折扣","正常"))</x:f>
        <x:v>正常</x:v>
      </x:c>
    </x:row>
    <x:row r="87">
      <x:c r="A87" s="486" t="n">
        <x:f>'原始订单'!A87</x:f>
        <x:v>46183</x:v>
      </x:c>
      <x:c r="B87" s="487" t="n">
        <x:f>DATE(YEAR(A87),MONTH(A87),1)</x:f>
        <x:v>46174</x:v>
      </x:c>
      <x:c r="C87" s="488" t="str">
        <x:f>'原始订单'!B87</x:f>
        <x:v>D20260083</x:v>
      </x:c>
      <x:c r="D87" s="488" t="str">
        <x:f>'原始订单'!C87</x:f>
        <x:v>C1062</x:v>
      </x:c>
      <x:c r="E87" s="488" t="str">
        <x:f>'原始订单'!D87</x:f>
        <x:v>小红书</x:v>
      </x:c>
      <x:c r="F87" s="488" t="str">
        <x:f>'原始订单'!E87</x:f>
        <x:v>无线标签机</x:v>
      </x:c>
      <x:c r="G87" s="489" t="n">
        <x:f>'原始订单'!F87</x:f>
        <x:v>1</x:v>
      </x:c>
      <x:c r="H87" s="489" t="n">
        <x:f>'原始订单'!G87</x:f>
        <x:v>239</x:v>
      </x:c>
      <x:c r="I87" s="490" t="n">
        <x:f>'原始订单'!H87</x:f>
        <x:v>0</x:v>
      </x:c>
      <x:c r="J87" s="491" t="n">
        <x:f>'原始订单'!I87</x:f>
        <x:v>0</x:v>
      </x:c>
      <x:c r="K87" s="492" t="n">
        <x:f>'原始订单'!J87</x:f>
        <x:v>118</x:v>
      </x:c>
      <x:c r="L87" s="492" t="n">
        <x:f>G87*H87</x:f>
        <x:v>239</x:v>
      </x:c>
      <x:c r="M87" s="492" t="n">
        <x:f>L87*I87</x:f>
        <x:v>0</x:v>
      </x:c>
      <x:c r="N87" s="492" t="n">
        <x:f>(L87-M87)*J87</x:f>
        <x:v>0</x:v>
      </x:c>
      <x:c r="O87" s="492" t="n">
        <x:f>L87-M87-N87</x:f>
        <x:v>239</x:v>
      </x:c>
      <x:c r="P87" s="492" t="n">
        <x:f>G87*K87*(1-J87)</x:f>
        <x:v>118</x:v>
      </x:c>
      <x:c r="Q87" s="492" t="n">
        <x:f>O87-P87</x:f>
        <x:v>121</x:v>
      </x:c>
      <x:c r="R87" s="490" t="n">
        <x:f>IF(O87=0,0,Q87/O87)</x:f>
        <x:v>0.5062761506276151</x:v>
      </x:c>
      <x:c r="S87" s="488" t="str">
        <x:f>IF(J87=1,"退款",IF(I87&gt;=0.2,"高折扣","正常"))</x:f>
        <x:v>正常</x:v>
      </x:c>
    </x:row>
    <x:row r="88">
      <x:c r="A88" s="486" t="n">
        <x:f>'原始订单'!A88</x:f>
        <x:v>46183</x:v>
      </x:c>
      <x:c r="B88" s="487" t="n">
        <x:f>DATE(YEAR(A88),MONTH(A88),1)</x:f>
        <x:v>46174</x:v>
      </x:c>
      <x:c r="C88" s="488" t="str">
        <x:f>'原始订单'!B88</x:f>
        <x:v>D20260084</x:v>
      </x:c>
      <x:c r="D88" s="488" t="str">
        <x:f>'原始订单'!C88</x:f>
        <x:v>C1044</x:v>
      </x:c>
      <x:c r="E88" s="488" t="str">
        <x:f>'原始订单'!D88</x:f>
        <x:v>小红书</x:v>
      </x:c>
      <x:c r="F88" s="488" t="str">
        <x:f>'原始订单'!E88</x:f>
        <x:v>轻量旅行杯</x:v>
      </x:c>
      <x:c r="G88" s="489" t="n">
        <x:f>'原始订单'!F88</x:f>
        <x:v>1</x:v>
      </x:c>
      <x:c r="H88" s="489" t="n">
        <x:f>'原始订单'!G88</x:f>
        <x:v>129</x:v>
      </x:c>
      <x:c r="I88" s="490" t="n">
        <x:f>'原始订单'!H88</x:f>
        <x:v>0.1</x:v>
      </x:c>
      <x:c r="J88" s="491" t="n">
        <x:f>'原始订单'!I88</x:f>
        <x:v>0</x:v>
      </x:c>
      <x:c r="K88" s="492" t="n">
        <x:f>'原始订单'!J88</x:f>
        <x:v>48</x:v>
      </x:c>
      <x:c r="L88" s="492" t="n">
        <x:f>G88*H88</x:f>
        <x:v>129</x:v>
      </x:c>
      <x:c r="M88" s="492" t="n">
        <x:f>L88*I88</x:f>
        <x:v>12.9</x:v>
      </x:c>
      <x:c r="N88" s="492" t="n">
        <x:f>(L88-M88)*J88</x:f>
        <x:v>0</x:v>
      </x:c>
      <x:c r="O88" s="492" t="n">
        <x:f>L88-M88-N88</x:f>
        <x:v>116.1</x:v>
      </x:c>
      <x:c r="P88" s="492" t="n">
        <x:f>G88*K88*(1-J88)</x:f>
        <x:v>48</x:v>
      </x:c>
      <x:c r="Q88" s="492" t="n">
        <x:f>O88-P88</x:f>
        <x:v>68.1</x:v>
      </x:c>
      <x:c r="R88" s="490" t="n">
        <x:f>IF(O88=0,0,Q88/O88)</x:f>
        <x:v>0.58656330749354</x:v>
      </x:c>
      <x:c r="S88" s="488" t="str">
        <x:f>IF(J88=1,"退款",IF(I88&gt;=0.2,"高折扣","正常"))</x:f>
        <x:v>正常</x:v>
      </x:c>
    </x:row>
    <x:row r="89">
      <x:c r="A89" s="486" t="n">
        <x:f>'原始订单'!A89</x:f>
        <x:v>46183</x:v>
      </x:c>
      <x:c r="B89" s="487" t="n">
        <x:f>DATE(YEAR(A89),MONTH(A89),1)</x:f>
        <x:v>46174</x:v>
      </x:c>
      <x:c r="C89" s="488" t="str">
        <x:f>'原始订单'!B89</x:f>
        <x:v>D20260085</x:v>
      </x:c>
      <x:c r="D89" s="488" t="str">
        <x:f>'原始订单'!C89</x:f>
        <x:v>C1086</x:v>
      </x:c>
      <x:c r="E89" s="488" t="str">
        <x:f>'原始订单'!D89</x:f>
        <x:v>小红书</x:v>
      </x:c>
      <x:c r="F89" s="488" t="str">
        <x:f>'原始订单'!E89</x:f>
        <x:v>轻量旅行杯</x:v>
      </x:c>
      <x:c r="G89" s="489" t="n">
        <x:f>'原始订单'!F89</x:f>
        <x:v>2</x:v>
      </x:c>
      <x:c r="H89" s="489" t="n">
        <x:f>'原始订单'!G89</x:f>
        <x:v>129</x:v>
      </x:c>
      <x:c r="I89" s="490" t="n">
        <x:f>'原始订单'!H89</x:f>
        <x:v>0.2</x:v>
      </x:c>
      <x:c r="J89" s="491" t="n">
        <x:f>'原始订单'!I89</x:f>
        <x:v>0</x:v>
      </x:c>
      <x:c r="K89" s="492" t="n">
        <x:f>'原始订单'!J89</x:f>
        <x:v>48</x:v>
      </x:c>
      <x:c r="L89" s="492" t="n">
        <x:f>G89*H89</x:f>
        <x:v>258</x:v>
      </x:c>
      <x:c r="M89" s="492" t="n">
        <x:f>L89*I89</x:f>
        <x:v>51.6</x:v>
      </x:c>
      <x:c r="N89" s="492" t="n">
        <x:f>(L89-M89)*J89</x:f>
        <x:v>0</x:v>
      </x:c>
      <x:c r="O89" s="492" t="n">
        <x:f>L89-M89-N89</x:f>
        <x:v>206.4</x:v>
      </x:c>
      <x:c r="P89" s="492" t="n">
        <x:f>G89*K89*(1-J89)</x:f>
        <x:v>96</x:v>
      </x:c>
      <x:c r="Q89" s="492" t="n">
        <x:f>O89-P89</x:f>
        <x:v>110.4</x:v>
      </x:c>
      <x:c r="R89" s="490" t="n">
        <x:f>IF(O89=0,0,Q89/O89)</x:f>
        <x:v>0.5348837209302326</x:v>
      </x:c>
      <x:c r="S89" s="488" t="str">
        <x:f>IF(J89=1,"退款",IF(I89&gt;=0.2,"高折扣","正常"))</x:f>
        <x:v>高折扣</x:v>
      </x:c>
    </x:row>
    <x:row r="90">
      <x:c r="A90" s="486" t="n">
        <x:f>'原始订单'!A90</x:f>
        <x:v>46183</x:v>
      </x:c>
      <x:c r="B90" s="487" t="n">
        <x:f>DATE(YEAR(A90),MONTH(A90),1)</x:f>
        <x:v>46174</x:v>
      </x:c>
      <x:c r="C90" s="488" t="str">
        <x:f>'原始订单'!B90</x:f>
        <x:v>D20260086</x:v>
      </x:c>
      <x:c r="D90" s="488" t="str">
        <x:f>'原始订单'!C90</x:f>
        <x:v>C1030</x:v>
      </x:c>
      <x:c r="E90" s="488" t="str">
        <x:f>'原始订单'!D90</x:f>
        <x:v>抖音广告</x:v>
      </x:c>
      <x:c r="F90" s="488" t="str">
        <x:f>'原始订单'!E90</x:f>
        <x:v>轻量旅行杯</x:v>
      </x:c>
      <x:c r="G90" s="489" t="n">
        <x:f>'原始订单'!F90</x:f>
        <x:v>1</x:v>
      </x:c>
      <x:c r="H90" s="489" t="n">
        <x:f>'原始订单'!G90</x:f>
        <x:v>129</x:v>
      </x:c>
      <x:c r="I90" s="490" t="n">
        <x:f>'原始订单'!H90</x:f>
        <x:v>0</x:v>
      </x:c>
      <x:c r="J90" s="491" t="n">
        <x:f>'原始订单'!I90</x:f>
        <x:v>0</x:v>
      </x:c>
      <x:c r="K90" s="492" t="n">
        <x:f>'原始订单'!J90</x:f>
        <x:v>48</x:v>
      </x:c>
      <x:c r="L90" s="492" t="n">
        <x:f>G90*H90</x:f>
        <x:v>129</x:v>
      </x:c>
      <x:c r="M90" s="492" t="n">
        <x:f>L90*I90</x:f>
        <x:v>0</x:v>
      </x:c>
      <x:c r="N90" s="492" t="n">
        <x:f>(L90-M90)*J90</x:f>
        <x:v>0</x:v>
      </x:c>
      <x:c r="O90" s="492" t="n">
        <x:f>L90-M90-N90</x:f>
        <x:v>129</x:v>
      </x:c>
      <x:c r="P90" s="492" t="n">
        <x:f>G90*K90*(1-J90)</x:f>
        <x:v>48</x:v>
      </x:c>
      <x:c r="Q90" s="492" t="n">
        <x:f>O90-P90</x:f>
        <x:v>81</x:v>
      </x:c>
      <x:c r="R90" s="490" t="n">
        <x:f>IF(O90=0,0,Q90/O90)</x:f>
        <x:v>0.627906976744186</x:v>
      </x:c>
      <x:c r="S90" s="488" t="str">
        <x:f>IF(J90=1,"退款",IF(I90&gt;=0.2,"高折扣","正常"))</x:f>
        <x:v>正常</x:v>
      </x:c>
    </x:row>
    <x:row r="91">
      <x:c r="A91" s="486" t="n">
        <x:f>'原始订单'!A91</x:f>
        <x:v>46185</x:v>
      </x:c>
      <x:c r="B91" s="487" t="n">
        <x:f>DATE(YEAR(A91),MONTH(A91),1)</x:f>
        <x:v>46174</x:v>
      </x:c>
      <x:c r="C91" s="488" t="str">
        <x:f>'原始订单'!B91</x:f>
        <x:v>D20260087</x:v>
      </x:c>
      <x:c r="D91" s="488" t="str">
        <x:f>'原始订单'!C91</x:f>
        <x:v>C1141</x:v>
      </x:c>
      <x:c r="E91" s="488" t="str">
        <x:f>'原始订单'!D91</x:f>
        <x:v>小红书</x:v>
      </x:c>
      <x:c r="F91" s="488" t="str">
        <x:f>'原始订单'!E91</x:f>
        <x:v>轻量旅行杯</x:v>
      </x:c>
      <x:c r="G91" s="489" t="n">
        <x:f>'原始订单'!F91</x:f>
        <x:v>2</x:v>
      </x:c>
      <x:c r="H91" s="489" t="n">
        <x:f>'原始订单'!G91</x:f>
        <x:v>129</x:v>
      </x:c>
      <x:c r="I91" s="490" t="n">
        <x:f>'原始订单'!H91</x:f>
        <x:v>0</x:v>
      </x:c>
      <x:c r="J91" s="491" t="n">
        <x:f>'原始订单'!I91</x:f>
        <x:v>0</x:v>
      </x:c>
      <x:c r="K91" s="492" t="n">
        <x:f>'原始订单'!J91</x:f>
        <x:v>48</x:v>
      </x:c>
      <x:c r="L91" s="492" t="n">
        <x:f>G91*H91</x:f>
        <x:v>258</x:v>
      </x:c>
      <x:c r="M91" s="492" t="n">
        <x:f>L91*I91</x:f>
        <x:v>0</x:v>
      </x:c>
      <x:c r="N91" s="492" t="n">
        <x:f>(L91-M91)*J91</x:f>
        <x:v>0</x:v>
      </x:c>
      <x:c r="O91" s="492" t="n">
        <x:f>L91-M91-N91</x:f>
        <x:v>258</x:v>
      </x:c>
      <x:c r="P91" s="492" t="n">
        <x:f>G91*K91*(1-J91)</x:f>
        <x:v>96</x:v>
      </x:c>
      <x:c r="Q91" s="492" t="n">
        <x:f>O91-P91</x:f>
        <x:v>162</x:v>
      </x:c>
      <x:c r="R91" s="490" t="n">
        <x:f>IF(O91=0,0,Q91/O91)</x:f>
        <x:v>0.627906976744186</x:v>
      </x:c>
      <x:c r="S91" s="488" t="str">
        <x:f>IF(J91=1,"退款",IF(I91&gt;=0.2,"高折扣","正常"))</x:f>
        <x:v>正常</x:v>
      </x:c>
    </x:row>
    <x:row r="92">
      <x:c r="A92" s="486" t="n">
        <x:f>'原始订单'!A92</x:f>
        <x:v>46185</x:v>
      </x:c>
      <x:c r="B92" s="487" t="n">
        <x:f>DATE(YEAR(A92),MONTH(A92),1)</x:f>
        <x:v>46174</x:v>
      </x:c>
      <x:c r="C92" s="488" t="str">
        <x:f>'原始订单'!B92</x:f>
        <x:v>D20260088</x:v>
      </x:c>
      <x:c r="D92" s="488" t="str">
        <x:f>'原始订单'!C92</x:f>
        <x:v>C1146</x:v>
      </x:c>
      <x:c r="E92" s="488" t="str">
        <x:f>'原始订单'!D92</x:f>
        <x:v>自然搜索</x:v>
      </x:c>
      <x:c r="F92" s="488" t="str">
        <x:f>'原始订单'!E92</x:f>
        <x:v>无线标签机</x:v>
      </x:c>
      <x:c r="G92" s="489" t="n">
        <x:f>'原始订单'!F92</x:f>
        <x:v>2</x:v>
      </x:c>
      <x:c r="H92" s="489" t="n">
        <x:f>'原始订单'!G92</x:f>
        <x:v>239</x:v>
      </x:c>
      <x:c r="I92" s="490" t="n">
        <x:f>'原始订单'!H92</x:f>
        <x:v>0</x:v>
      </x:c>
      <x:c r="J92" s="491" t="n">
        <x:f>'原始订单'!I92</x:f>
        <x:v>0</x:v>
      </x:c>
      <x:c r="K92" s="492" t="n">
        <x:f>'原始订单'!J92</x:f>
        <x:v>118</x:v>
      </x:c>
      <x:c r="L92" s="492" t="n">
        <x:f>G92*H92</x:f>
        <x:v>478</x:v>
      </x:c>
      <x:c r="M92" s="492" t="n">
        <x:f>L92*I92</x:f>
        <x:v>0</x:v>
      </x:c>
      <x:c r="N92" s="492" t="n">
        <x:f>(L92-M92)*J92</x:f>
        <x:v>0</x:v>
      </x:c>
      <x:c r="O92" s="492" t="n">
        <x:f>L92-M92-N92</x:f>
        <x:v>478</x:v>
      </x:c>
      <x:c r="P92" s="492" t="n">
        <x:f>G92*K92*(1-J92)</x:f>
        <x:v>236</x:v>
      </x:c>
      <x:c r="Q92" s="492" t="n">
        <x:f>O92-P92</x:f>
        <x:v>242</x:v>
      </x:c>
      <x:c r="R92" s="490" t="n">
        <x:f>IF(O92=0,0,Q92/O92)</x:f>
        <x:v>0.5062761506276151</x:v>
      </x:c>
      <x:c r="S92" s="488" t="str">
        <x:f>IF(J92=1,"退款",IF(I92&gt;=0.2,"高折扣","正常"))</x:f>
        <x:v>正常</x:v>
      </x:c>
    </x:row>
    <x:row r="93">
      <x:c r="A93" s="486" t="n">
        <x:f>'原始订单'!A93</x:f>
        <x:v>46185</x:v>
      </x:c>
      <x:c r="B93" s="487" t="n">
        <x:f>DATE(YEAR(A93),MONTH(A93),1)</x:f>
        <x:v>46174</x:v>
      </x:c>
      <x:c r="C93" s="488" t="str">
        <x:f>'原始订单'!B93</x:f>
        <x:v>D20260089</x:v>
      </x:c>
      <x:c r="D93" s="488" t="str">
        <x:f>'原始订单'!C93</x:f>
        <x:v>C1051</x:v>
      </x:c>
      <x:c r="E93" s="488" t="str">
        <x:f>'原始订单'!D93</x:f>
        <x:v>抖音广告</x:v>
      </x:c>
      <x:c r="F93" s="488" t="str">
        <x:f>'原始订单'!E93</x:f>
        <x:v>桌面收纳架</x:v>
      </x:c>
      <x:c r="G93" s="489" t="n">
        <x:f>'原始订单'!F93</x:f>
        <x:v>2</x:v>
      </x:c>
      <x:c r="H93" s="489" t="n">
        <x:f>'原始订单'!G93</x:f>
        <x:v>89</x:v>
      </x:c>
      <x:c r="I93" s="490" t="n">
        <x:f>'原始订单'!H93</x:f>
        <x:v>0</x:v>
      </x:c>
      <x:c r="J93" s="491" t="n">
        <x:f>'原始订单'!I93</x:f>
        <x:v>0</x:v>
      </x:c>
      <x:c r="K93" s="492" t="n">
        <x:f>'原始订单'!J93</x:f>
        <x:v>32</x:v>
      </x:c>
      <x:c r="L93" s="492" t="n">
        <x:f>G93*H93</x:f>
        <x:v>178</x:v>
      </x:c>
      <x:c r="M93" s="492" t="n">
        <x:f>L93*I93</x:f>
        <x:v>0</x:v>
      </x:c>
      <x:c r="N93" s="492" t="n">
        <x:f>(L93-M93)*J93</x:f>
        <x:v>0</x:v>
      </x:c>
      <x:c r="O93" s="492" t="n">
        <x:f>L93-M93-N93</x:f>
        <x:v>178</x:v>
      </x:c>
      <x:c r="P93" s="492" t="n">
        <x:f>G93*K93*(1-J93)</x:f>
        <x:v>64</x:v>
      </x:c>
      <x:c r="Q93" s="492" t="n">
        <x:f>O93-P93</x:f>
        <x:v>114</x:v>
      </x:c>
      <x:c r="R93" s="490" t="n">
        <x:f>IF(O93=0,0,Q93/O93)</x:f>
        <x:v>0.6404494382022472</x:v>
      </x:c>
      <x:c r="S93" s="488" t="str">
        <x:f>IF(J93=1,"退款",IF(I93&gt;=0.2,"高折扣","正常"))</x:f>
        <x:v>正常</x:v>
      </x:c>
    </x:row>
    <x:row r="94">
      <x:c r="A94" s="486" t="n">
        <x:f>'原始订单'!A94</x:f>
        <x:v>46185</x:v>
      </x:c>
      <x:c r="B94" s="487" t="n">
        <x:f>DATE(YEAR(A94),MONTH(A94),1)</x:f>
        <x:v>46174</x:v>
      </x:c>
      <x:c r="C94" s="488" t="str">
        <x:f>'原始订单'!B94</x:f>
        <x:v>D20260090</x:v>
      </x:c>
      <x:c r="D94" s="488" t="str">
        <x:f>'原始订单'!C94</x:f>
        <x:v>C1011</x:v>
      </x:c>
      <x:c r="E94" s="488" t="str">
        <x:f>'原始订单'!D94</x:f>
        <x:v>抖音广告</x:v>
      </x:c>
      <x:c r="F94" s="488" t="str">
        <x:f>'原始订单'!E94</x:f>
        <x:v>便携补光灯</x:v>
      </x:c>
      <x:c r="G94" s="489" t="n">
        <x:f>'原始订单'!F94</x:f>
        <x:v>1</x:v>
      </x:c>
      <x:c r="H94" s="489" t="n">
        <x:f>'原始订单'!G94</x:f>
        <x:v>159</x:v>
      </x:c>
      <x:c r="I94" s="490" t="n">
        <x:f>'原始订单'!H94</x:f>
        <x:v>0.1</x:v>
      </x:c>
      <x:c r="J94" s="491" t="n">
        <x:f>'原始订单'!I94</x:f>
        <x:v>0</x:v>
      </x:c>
      <x:c r="K94" s="492" t="n">
        <x:f>'原始订单'!J94</x:f>
        <x:v>72</x:v>
      </x:c>
      <x:c r="L94" s="492" t="n">
        <x:f>G94*H94</x:f>
        <x:v>159</x:v>
      </x:c>
      <x:c r="M94" s="492" t="n">
        <x:f>L94*I94</x:f>
        <x:v>15.9</x:v>
      </x:c>
      <x:c r="N94" s="492" t="n">
        <x:f>(L94-M94)*J94</x:f>
        <x:v>0</x:v>
      </x:c>
      <x:c r="O94" s="492" t="n">
        <x:f>L94-M94-N94</x:f>
        <x:v>143.1</x:v>
      </x:c>
      <x:c r="P94" s="492" t="n">
        <x:f>G94*K94*(1-J94)</x:f>
        <x:v>72</x:v>
      </x:c>
      <x:c r="Q94" s="492" t="n">
        <x:f>O94-P94</x:f>
        <x:v>71.1</x:v>
      </x:c>
      <x:c r="R94" s="490" t="n">
        <x:f>IF(O94=0,0,Q94/O94)</x:f>
        <x:v>0.4968553459119497</x:v>
      </x:c>
      <x:c r="S94" s="488" t="str">
        <x:f>IF(J94=1,"退款",IF(I94&gt;=0.2,"高折扣","正常"))</x:f>
        <x:v>正常</x:v>
      </x:c>
    </x:row>
    <x:row r="95">
      <x:c r="A95" s="486" t="n">
        <x:f>'原始订单'!A95</x:f>
        <x:v>46185</x:v>
      </x:c>
      <x:c r="B95" s="487" t="n">
        <x:f>DATE(YEAR(A95),MONTH(A95),1)</x:f>
        <x:v>46174</x:v>
      </x:c>
      <x:c r="C95" s="488" t="str">
        <x:f>'原始订单'!B95</x:f>
        <x:v>D20260091</x:v>
      </x:c>
      <x:c r="D95" s="488" t="str">
        <x:f>'原始订单'!C95</x:f>
        <x:v>C1090</x:v>
      </x:c>
      <x:c r="E95" s="488" t="str">
        <x:f>'原始订单'!D95</x:f>
        <x:v>自然搜索</x:v>
      </x:c>
      <x:c r="F95" s="488" t="str">
        <x:f>'原始订单'!E95</x:f>
        <x:v>轻量旅行杯</x:v>
      </x:c>
      <x:c r="G95" s="489" t="n">
        <x:f>'原始订单'!F95</x:f>
        <x:v>1</x:v>
      </x:c>
      <x:c r="H95" s="489" t="n">
        <x:f>'原始订单'!G95</x:f>
        <x:v>129</x:v>
      </x:c>
      <x:c r="I95" s="490" t="n">
        <x:f>'原始订单'!H95</x:f>
        <x:v>0.2</x:v>
      </x:c>
      <x:c r="J95" s="491" t="n">
        <x:f>'原始订单'!I95</x:f>
        <x:v>0</x:v>
      </x:c>
      <x:c r="K95" s="492" t="n">
        <x:f>'原始订单'!J95</x:f>
        <x:v>48</x:v>
      </x:c>
      <x:c r="L95" s="492" t="n">
        <x:f>G95*H95</x:f>
        <x:v>129</x:v>
      </x:c>
      <x:c r="M95" s="492" t="n">
        <x:f>L95*I95</x:f>
        <x:v>25.8</x:v>
      </x:c>
      <x:c r="N95" s="492" t="n">
        <x:f>(L95-M95)*J95</x:f>
        <x:v>0</x:v>
      </x:c>
      <x:c r="O95" s="492" t="n">
        <x:f>L95-M95-N95</x:f>
        <x:v>103.2</x:v>
      </x:c>
      <x:c r="P95" s="492" t="n">
        <x:f>G95*K95*(1-J95)</x:f>
        <x:v>48</x:v>
      </x:c>
      <x:c r="Q95" s="492" t="n">
        <x:f>O95-P95</x:f>
        <x:v>55.2</x:v>
      </x:c>
      <x:c r="R95" s="490" t="n">
        <x:f>IF(O95=0,0,Q95/O95)</x:f>
        <x:v>0.5348837209302326</x:v>
      </x:c>
      <x:c r="S95" s="488" t="str">
        <x:f>IF(J95=1,"退款",IF(I95&gt;=0.2,"高折扣","正常"))</x:f>
        <x:v>高折扣</x:v>
      </x:c>
    </x:row>
    <x:row r="96">
      <x:c r="A96" s="486" t="n">
        <x:f>'原始订单'!A96</x:f>
        <x:v>46186</x:v>
      </x:c>
      <x:c r="B96" s="487" t="n">
        <x:f>DATE(YEAR(A96),MONTH(A96),1)</x:f>
        <x:v>46174</x:v>
      </x:c>
      <x:c r="C96" s="488" t="str">
        <x:f>'原始订单'!B96</x:f>
        <x:v>D20260092</x:v>
      </x:c>
      <x:c r="D96" s="488" t="str">
        <x:f>'原始订单'!C96</x:f>
        <x:v>C1097</x:v>
      </x:c>
      <x:c r="E96" s="488" t="str">
        <x:f>'原始订单'!D96</x:f>
        <x:v>小红书</x:v>
      </x:c>
      <x:c r="F96" s="488" t="str">
        <x:f>'原始订单'!E96</x:f>
        <x:v>桌面收纳架</x:v>
      </x:c>
      <x:c r="G96" s="489" t="n">
        <x:f>'原始订单'!F96</x:f>
        <x:v>1</x:v>
      </x:c>
      <x:c r="H96" s="489" t="n">
        <x:f>'原始订单'!G96</x:f>
        <x:v>89</x:v>
      </x:c>
      <x:c r="I96" s="490" t="n">
        <x:f>'原始订单'!H96</x:f>
        <x:v>0.1</x:v>
      </x:c>
      <x:c r="J96" s="491" t="n">
        <x:f>'原始订单'!I96</x:f>
        <x:v>0</x:v>
      </x:c>
      <x:c r="K96" s="492" t="n">
        <x:f>'原始订单'!J96</x:f>
        <x:v>32</x:v>
      </x:c>
      <x:c r="L96" s="492" t="n">
        <x:f>G96*H96</x:f>
        <x:v>89</x:v>
      </x:c>
      <x:c r="M96" s="492" t="n">
        <x:f>L96*I96</x:f>
        <x:v>8.9</x:v>
      </x:c>
      <x:c r="N96" s="492" t="n">
        <x:f>(L96-M96)*J96</x:f>
        <x:v>0</x:v>
      </x:c>
      <x:c r="O96" s="492" t="n">
        <x:f>L96-M96-N96</x:f>
        <x:v>80.1</x:v>
      </x:c>
      <x:c r="P96" s="492" t="n">
        <x:f>G96*K96*(1-J96)</x:f>
        <x:v>32</x:v>
      </x:c>
      <x:c r="Q96" s="492" t="n">
        <x:f>O96-P96</x:f>
        <x:v>48.099999999999994</x:v>
      </x:c>
      <x:c r="R96" s="490" t="n">
        <x:f>IF(O96=0,0,Q96/O96)</x:f>
        <x:v>0.6004993757802747</x:v>
      </x:c>
      <x:c r="S96" s="488" t="str">
        <x:f>IF(J96=1,"退款",IF(I96&gt;=0.2,"高折扣","正常"))</x:f>
        <x:v>正常</x:v>
      </x:c>
    </x:row>
    <x:row r="97">
      <x:c r="A97" s="486" t="n">
        <x:f>'原始订单'!A97</x:f>
        <x:v>46186</x:v>
      </x:c>
      <x:c r="B97" s="487" t="n">
        <x:f>DATE(YEAR(A97),MONTH(A97),1)</x:f>
        <x:v>46174</x:v>
      </x:c>
      <x:c r="C97" s="488" t="str">
        <x:f>'原始订单'!B97</x:f>
        <x:v>D20260093</x:v>
      </x:c>
      <x:c r="D97" s="488" t="str">
        <x:f>'原始订单'!C97</x:f>
        <x:v>C1130</x:v>
      </x:c>
      <x:c r="E97" s="488" t="str">
        <x:f>'原始订单'!D97</x:f>
        <x:v>抖音广告</x:v>
      </x:c>
      <x:c r="F97" s="488" t="str">
        <x:f>'原始订单'!E97</x:f>
        <x:v>轻量旅行杯</x:v>
      </x:c>
      <x:c r="G97" s="489" t="n">
        <x:f>'原始订单'!F97</x:f>
        <x:v>1</x:v>
      </x:c>
      <x:c r="H97" s="489" t="n">
        <x:f>'原始订单'!G97</x:f>
        <x:v>129</x:v>
      </x:c>
      <x:c r="I97" s="490" t="n">
        <x:f>'原始订单'!H97</x:f>
        <x:v>0.05</x:v>
      </x:c>
      <x:c r="J97" s="491" t="n">
        <x:f>'原始订单'!I97</x:f>
        <x:v>0</x:v>
      </x:c>
      <x:c r="K97" s="492" t="n">
        <x:f>'原始订单'!J97</x:f>
        <x:v>48</x:v>
      </x:c>
      <x:c r="L97" s="492" t="n">
        <x:f>G97*H97</x:f>
        <x:v>129</x:v>
      </x:c>
      <x:c r="M97" s="492" t="n">
        <x:f>L97*I97</x:f>
        <x:v>6.45</x:v>
      </x:c>
      <x:c r="N97" s="492" t="n">
        <x:f>(L97-M97)*J97</x:f>
        <x:v>0</x:v>
      </x:c>
      <x:c r="O97" s="492" t="n">
        <x:f>L97-M97-N97</x:f>
        <x:v>122.55</x:v>
      </x:c>
      <x:c r="P97" s="492" t="n">
        <x:f>G97*K97*(1-J97)</x:f>
        <x:v>48</x:v>
      </x:c>
      <x:c r="Q97" s="492" t="n">
        <x:f>O97-P97</x:f>
        <x:v>74.55</x:v>
      </x:c>
      <x:c r="R97" s="490" t="n">
        <x:f>IF(O97=0,0,Q97/O97)</x:f>
        <x:v>0.6083231334149327</x:v>
      </x:c>
      <x:c r="S97" s="488" t="str">
        <x:f>IF(J97=1,"退款",IF(I97&gt;=0.2,"高折扣","正常"))</x:f>
        <x:v>正常</x:v>
      </x:c>
    </x:row>
    <x:row r="98">
      <x:c r="A98" s="486" t="n">
        <x:f>'原始订单'!A98</x:f>
        <x:v>46186</x:v>
      </x:c>
      <x:c r="B98" s="487" t="n">
        <x:f>DATE(YEAR(A98),MONTH(A98),1)</x:f>
        <x:v>46174</x:v>
      </x:c>
      <x:c r="C98" s="488" t="str">
        <x:f>'原始订单'!B98</x:f>
        <x:v>D20260094</x:v>
      </x:c>
      <x:c r="D98" s="488" t="str">
        <x:f>'原始订单'!C98</x:f>
        <x:v>C1109</x:v>
      </x:c>
      <x:c r="E98" s="488" t="str">
        <x:f>'原始订单'!D98</x:f>
        <x:v>小红书</x:v>
      </x:c>
      <x:c r="F98" s="488" t="str">
        <x:f>'原始订单'!E98</x:f>
        <x:v>轻量旅行杯</x:v>
      </x:c>
      <x:c r="G98" s="489" t="n">
        <x:f>'原始订单'!F98</x:f>
        <x:v>2</x:v>
      </x:c>
      <x:c r="H98" s="489" t="n">
        <x:f>'原始订单'!G98</x:f>
        <x:v>129</x:v>
      </x:c>
      <x:c r="I98" s="490" t="n">
        <x:f>'原始订单'!H98</x:f>
        <x:v>0.05</x:v>
      </x:c>
      <x:c r="J98" s="491" t="n">
        <x:f>'原始订单'!I98</x:f>
        <x:v>0</x:v>
      </x:c>
      <x:c r="K98" s="492" t="n">
        <x:f>'原始订单'!J98</x:f>
        <x:v>48</x:v>
      </x:c>
      <x:c r="L98" s="492" t="n">
        <x:f>G98*H98</x:f>
        <x:v>258</x:v>
      </x:c>
      <x:c r="M98" s="492" t="n">
        <x:f>L98*I98</x:f>
        <x:v>12.9</x:v>
      </x:c>
      <x:c r="N98" s="492" t="n">
        <x:f>(L98-M98)*J98</x:f>
        <x:v>0</x:v>
      </x:c>
      <x:c r="O98" s="492" t="n">
        <x:f>L98-M98-N98</x:f>
        <x:v>245.1</x:v>
      </x:c>
      <x:c r="P98" s="492" t="n">
        <x:f>G98*K98*(1-J98)</x:f>
        <x:v>96</x:v>
      </x:c>
      <x:c r="Q98" s="492" t="n">
        <x:f>O98-P98</x:f>
        <x:v>149.1</x:v>
      </x:c>
      <x:c r="R98" s="490" t="n">
        <x:f>IF(O98=0,0,Q98/O98)</x:f>
        <x:v>0.6083231334149327</x:v>
      </x:c>
      <x:c r="S98" s="488" t="str">
        <x:f>IF(J98=1,"退款",IF(I98&gt;=0.2,"高折扣","正常"))</x:f>
        <x:v>正常</x:v>
      </x:c>
    </x:row>
    <x:row r="99">
      <x:c r="A99" s="486" t="n">
        <x:f>'原始订单'!A99</x:f>
        <x:v>46186</x:v>
      </x:c>
      <x:c r="B99" s="487" t="n">
        <x:f>DATE(YEAR(A99),MONTH(A99),1)</x:f>
        <x:v>46174</x:v>
      </x:c>
      <x:c r="C99" s="488" t="str">
        <x:f>'原始订单'!B99</x:f>
        <x:v>D20260095</x:v>
      </x:c>
      <x:c r="D99" s="488" t="str">
        <x:f>'原始订单'!C99</x:f>
        <x:v>C1148</x:v>
      </x:c>
      <x:c r="E99" s="488" t="str">
        <x:f>'原始订单'!D99</x:f>
        <x:v>自然搜索</x:v>
      </x:c>
      <x:c r="F99" s="488" t="str">
        <x:f>'原始订单'!E99</x:f>
        <x:v>轻量旅行杯</x:v>
      </x:c>
      <x:c r="G99" s="489" t="n">
        <x:f>'原始订单'!F99</x:f>
        <x:v>1</x:v>
      </x:c>
      <x:c r="H99" s="489" t="n">
        <x:f>'原始订单'!G99</x:f>
        <x:v>129</x:v>
      </x:c>
      <x:c r="I99" s="490" t="n">
        <x:f>'原始订单'!H99</x:f>
        <x:v>0.05</x:v>
      </x:c>
      <x:c r="J99" s="491" t="n">
        <x:f>'原始订单'!I99</x:f>
        <x:v>0</x:v>
      </x:c>
      <x:c r="K99" s="492" t="n">
        <x:f>'原始订单'!J99</x:f>
        <x:v>48</x:v>
      </x:c>
      <x:c r="L99" s="492" t="n">
        <x:f>G99*H99</x:f>
        <x:v>129</x:v>
      </x:c>
      <x:c r="M99" s="492" t="n">
        <x:f>L99*I99</x:f>
        <x:v>6.45</x:v>
      </x:c>
      <x:c r="N99" s="492" t="n">
        <x:f>(L99-M99)*J99</x:f>
        <x:v>0</x:v>
      </x:c>
      <x:c r="O99" s="492" t="n">
        <x:f>L99-M99-N99</x:f>
        <x:v>122.55</x:v>
      </x:c>
      <x:c r="P99" s="492" t="n">
        <x:f>G99*K99*(1-J99)</x:f>
        <x:v>48</x:v>
      </x:c>
      <x:c r="Q99" s="492" t="n">
        <x:f>O99-P99</x:f>
        <x:v>74.55</x:v>
      </x:c>
      <x:c r="R99" s="490" t="n">
        <x:f>IF(O99=0,0,Q99/O99)</x:f>
        <x:v>0.6083231334149327</x:v>
      </x:c>
      <x:c r="S99" s="488" t="str">
        <x:f>IF(J99=1,"退款",IF(I99&gt;=0.2,"高折扣","正常"))</x:f>
        <x:v>正常</x:v>
      </x:c>
    </x:row>
    <x:row r="100">
      <x:c r="A100" s="486" t="n">
        <x:f>'原始订单'!A100</x:f>
        <x:v>46186</x:v>
      </x:c>
      <x:c r="B100" s="487" t="n">
        <x:f>DATE(YEAR(A100),MONTH(A100),1)</x:f>
        <x:v>46174</x:v>
      </x:c>
      <x:c r="C100" s="488" t="str">
        <x:f>'原始订单'!B100</x:f>
        <x:v>D20260096</x:v>
      </x:c>
      <x:c r="D100" s="488" t="str">
        <x:f>'原始订单'!C100</x:f>
        <x:v>C1034</x:v>
      </x:c>
      <x:c r="E100" s="488" t="str">
        <x:f>'原始订单'!D100</x:f>
        <x:v>老客复购</x:v>
      </x:c>
      <x:c r="F100" s="488" t="str">
        <x:f>'原始订单'!E100</x:f>
        <x:v>轻量旅行杯</x:v>
      </x:c>
      <x:c r="G100" s="489" t="n">
        <x:f>'原始订单'!F100</x:f>
        <x:v>1</x:v>
      </x:c>
      <x:c r="H100" s="489" t="n">
        <x:f>'原始订单'!G100</x:f>
        <x:v>129</x:v>
      </x:c>
      <x:c r="I100" s="490" t="n">
        <x:f>'原始订单'!H100</x:f>
        <x:v>0.1</x:v>
      </x:c>
      <x:c r="J100" s="491" t="n">
        <x:f>'原始订单'!I100</x:f>
        <x:v>0</x:v>
      </x:c>
      <x:c r="K100" s="492" t="n">
        <x:f>'原始订单'!J100</x:f>
        <x:v>48</x:v>
      </x:c>
      <x:c r="L100" s="492" t="n">
        <x:f>G100*H100</x:f>
        <x:v>129</x:v>
      </x:c>
      <x:c r="M100" s="492" t="n">
        <x:f>L100*I100</x:f>
        <x:v>12.9</x:v>
      </x:c>
      <x:c r="N100" s="492" t="n">
        <x:f>(L100-M100)*J100</x:f>
        <x:v>0</x:v>
      </x:c>
      <x:c r="O100" s="492" t="n">
        <x:f>L100-M100-N100</x:f>
        <x:v>116.1</x:v>
      </x:c>
      <x:c r="P100" s="492" t="n">
        <x:f>G100*K100*(1-J100)</x:f>
        <x:v>48</x:v>
      </x:c>
      <x:c r="Q100" s="492" t="n">
        <x:f>O100-P100</x:f>
        <x:v>68.1</x:v>
      </x:c>
      <x:c r="R100" s="490" t="n">
        <x:f>IF(O100=0,0,Q100/O100)</x:f>
        <x:v>0.58656330749354</x:v>
      </x:c>
      <x:c r="S100" s="488" t="str">
        <x:f>IF(J100=1,"退款",IF(I100&gt;=0.2,"高折扣","正常"))</x:f>
        <x:v>正常</x:v>
      </x:c>
    </x:row>
    <x:row r="101">
      <x:c r="A101" s="486" t="n">
        <x:f>'原始订单'!A101</x:f>
        <x:v>46186</x:v>
      </x:c>
      <x:c r="B101" s="487" t="n">
        <x:f>DATE(YEAR(A101),MONTH(A101),1)</x:f>
        <x:v>46174</x:v>
      </x:c>
      <x:c r="C101" s="488" t="str">
        <x:f>'原始订单'!B101</x:f>
        <x:v>D20260097</x:v>
      </x:c>
      <x:c r="D101" s="488" t="str">
        <x:f>'原始订单'!C101</x:f>
        <x:v>C1037</x:v>
      </x:c>
      <x:c r="E101" s="488" t="str">
        <x:f>'原始订单'!D101</x:f>
        <x:v>老客复购</x:v>
      </x:c>
      <x:c r="F101" s="488" t="str">
        <x:f>'原始订单'!E101</x:f>
        <x:v>无线标签机</x:v>
      </x:c>
      <x:c r="G101" s="489" t="n">
        <x:f>'原始订单'!F101</x:f>
        <x:v>1</x:v>
      </x:c>
      <x:c r="H101" s="489" t="n">
        <x:f>'原始订单'!G101</x:f>
        <x:v>239</x:v>
      </x:c>
      <x:c r="I101" s="490" t="n">
        <x:f>'原始订单'!H101</x:f>
        <x:v>0</x:v>
      </x:c>
      <x:c r="J101" s="491" t="n">
        <x:f>'原始订单'!I101</x:f>
        <x:v>0</x:v>
      </x:c>
      <x:c r="K101" s="492" t="n">
        <x:f>'原始订单'!J101</x:f>
        <x:v>118</x:v>
      </x:c>
      <x:c r="L101" s="492" t="n">
        <x:f>G101*H101</x:f>
        <x:v>239</x:v>
      </x:c>
      <x:c r="M101" s="492" t="n">
        <x:f>L101*I101</x:f>
        <x:v>0</x:v>
      </x:c>
      <x:c r="N101" s="492" t="n">
        <x:f>(L101-M101)*J101</x:f>
        <x:v>0</x:v>
      </x:c>
      <x:c r="O101" s="492" t="n">
        <x:f>L101-M101-N101</x:f>
        <x:v>239</x:v>
      </x:c>
      <x:c r="P101" s="492" t="n">
        <x:f>G101*K101*(1-J101)</x:f>
        <x:v>118</x:v>
      </x:c>
      <x:c r="Q101" s="492" t="n">
        <x:f>O101-P101</x:f>
        <x:v>121</x:v>
      </x:c>
      <x:c r="R101" s="490" t="n">
        <x:f>IF(O101=0,0,Q101/O101)</x:f>
        <x:v>0.5062761506276151</x:v>
      </x:c>
      <x:c r="S101" s="488" t="str">
        <x:f>IF(J101=1,"退款",IF(I101&gt;=0.2,"高折扣","正常"))</x:f>
        <x:v>正常</x:v>
      </x:c>
    </x:row>
    <x:row r="102">
      <x:c r="A102" s="486" t="n">
        <x:f>'原始订单'!A102</x:f>
        <x:v>46187</x:v>
      </x:c>
      <x:c r="B102" s="487" t="n">
        <x:f>DATE(YEAR(A102),MONTH(A102),1)</x:f>
        <x:v>46174</x:v>
      </x:c>
      <x:c r="C102" s="488" t="str">
        <x:f>'原始订单'!B102</x:f>
        <x:v>D20260098</x:v>
      </x:c>
      <x:c r="D102" s="488" t="str">
        <x:f>'原始订单'!C102</x:f>
        <x:v>C1010</x:v>
      </x:c>
      <x:c r="E102" s="488" t="str">
        <x:f>'原始订单'!D102</x:f>
        <x:v>小红书</x:v>
      </x:c>
      <x:c r="F102" s="488" t="str">
        <x:f>'原始订单'!E102</x:f>
        <x:v>桌面收纳架</x:v>
      </x:c>
      <x:c r="G102" s="489" t="n">
        <x:f>'原始订单'!F102</x:f>
        <x:v>2</x:v>
      </x:c>
      <x:c r="H102" s="489" t="n">
        <x:f>'原始订单'!G102</x:f>
        <x:v>89</x:v>
      </x:c>
      <x:c r="I102" s="490" t="n">
        <x:f>'原始订单'!H102</x:f>
        <x:v>0.05</x:v>
      </x:c>
      <x:c r="J102" s="491" t="n">
        <x:f>'原始订单'!I102</x:f>
        <x:v>0</x:v>
      </x:c>
      <x:c r="K102" s="492" t="n">
        <x:f>'原始订单'!J102</x:f>
        <x:v>32</x:v>
      </x:c>
      <x:c r="L102" s="492" t="n">
        <x:f>G102*H102</x:f>
        <x:v>178</x:v>
      </x:c>
      <x:c r="M102" s="492" t="n">
        <x:f>L102*I102</x:f>
        <x:v>8.9</x:v>
      </x:c>
      <x:c r="N102" s="492" t="n">
        <x:f>(L102-M102)*J102</x:f>
        <x:v>0</x:v>
      </x:c>
      <x:c r="O102" s="492" t="n">
        <x:f>L102-M102-N102</x:f>
        <x:v>169.1</x:v>
      </x:c>
      <x:c r="P102" s="492" t="n">
        <x:f>G102*K102*(1-J102)</x:f>
        <x:v>64</x:v>
      </x:c>
      <x:c r="Q102" s="492" t="n">
        <x:f>O102-P102</x:f>
        <x:v>105.1</x:v>
      </x:c>
      <x:c r="R102" s="490" t="n">
        <x:f>IF(O102=0,0,Q102/O102)</x:f>
        <x:v>0.6215257244234181</x:v>
      </x:c>
      <x:c r="S102" s="488" t="str">
        <x:f>IF(J102=1,"退款",IF(I102&gt;=0.2,"高折扣","正常"))</x:f>
        <x:v>正常</x:v>
      </x:c>
    </x:row>
    <x:row r="103">
      <x:c r="A103" s="486" t="n">
        <x:f>'原始订单'!A103</x:f>
        <x:v>46187</x:v>
      </x:c>
      <x:c r="B103" s="487" t="n">
        <x:f>DATE(YEAR(A103),MONTH(A103),1)</x:f>
        <x:v>46174</x:v>
      </x:c>
      <x:c r="C103" s="488" t="str">
        <x:f>'原始订单'!B103</x:f>
        <x:v>D20260099</x:v>
      </x:c>
      <x:c r="D103" s="488" t="str">
        <x:f>'原始订单'!C103</x:f>
        <x:v>C1084</x:v>
      </x:c>
      <x:c r="E103" s="488" t="str">
        <x:f>'原始订单'!D103</x:f>
        <x:v>抖音广告</x:v>
      </x:c>
      <x:c r="F103" s="488" t="str">
        <x:f>'原始订单'!E103</x:f>
        <x:v>便携补光灯</x:v>
      </x:c>
      <x:c r="G103" s="489" t="n">
        <x:f>'原始订单'!F103</x:f>
        <x:v>2</x:v>
      </x:c>
      <x:c r="H103" s="489" t="n">
        <x:f>'原始订单'!G103</x:f>
        <x:v>159</x:v>
      </x:c>
      <x:c r="I103" s="490" t="n">
        <x:f>'原始订单'!H103</x:f>
        <x:v>0.05</x:v>
      </x:c>
      <x:c r="J103" s="491" t="n">
        <x:f>'原始订单'!I103</x:f>
        <x:v>0</x:v>
      </x:c>
      <x:c r="K103" s="492" t="n">
        <x:f>'原始订单'!J103</x:f>
        <x:v>72</x:v>
      </x:c>
      <x:c r="L103" s="492" t="n">
        <x:f>G103*H103</x:f>
        <x:v>318</x:v>
      </x:c>
      <x:c r="M103" s="492" t="n">
        <x:f>L103*I103</x:f>
        <x:v>15.9</x:v>
      </x:c>
      <x:c r="N103" s="492" t="n">
        <x:f>(L103-M103)*J103</x:f>
        <x:v>0</x:v>
      </x:c>
      <x:c r="O103" s="492" t="n">
        <x:f>L103-M103-N103</x:f>
        <x:v>302.1</x:v>
      </x:c>
      <x:c r="P103" s="492" t="n">
        <x:f>G103*K103*(1-J103)</x:f>
        <x:v>144</x:v>
      </x:c>
      <x:c r="Q103" s="492" t="n">
        <x:f>O103-P103</x:f>
        <x:v>158.10000000000002</x:v>
      </x:c>
      <x:c r="R103" s="490" t="n">
        <x:f>IF(O103=0,0,Q103/O103)</x:f>
        <x:v>0.5233366434955313</x:v>
      </x:c>
      <x:c r="S103" s="488" t="str">
        <x:f>IF(J103=1,"退款",IF(I103&gt;=0.2,"高折扣","正常"))</x:f>
        <x:v>正常</x:v>
      </x:c>
    </x:row>
    <x:row r="104">
      <x:c r="A104" s="486" t="n">
        <x:f>'原始订单'!A104</x:f>
        <x:v>46187</x:v>
      </x:c>
      <x:c r="B104" s="487" t="n">
        <x:f>DATE(YEAR(A104),MONTH(A104),1)</x:f>
        <x:v>46174</x:v>
      </x:c>
      <x:c r="C104" s="488" t="str">
        <x:f>'原始订单'!B104</x:f>
        <x:v>D20260100</x:v>
      </x:c>
      <x:c r="D104" s="488" t="str">
        <x:f>'原始订单'!C104</x:f>
        <x:v>C1139</x:v>
      </x:c>
      <x:c r="E104" s="488" t="str">
        <x:f>'原始订单'!D104</x:f>
        <x:v>抖音广告</x:v>
      </x:c>
      <x:c r="F104" s="488" t="str">
        <x:f>'原始订单'!E104</x:f>
        <x:v>无线标签机</x:v>
      </x:c>
      <x:c r="G104" s="489" t="n">
        <x:f>'原始订单'!F104</x:f>
        <x:v>1</x:v>
      </x:c>
      <x:c r="H104" s="489" t="n">
        <x:f>'原始订单'!G104</x:f>
        <x:v>239</x:v>
      </x:c>
      <x:c r="I104" s="490" t="n">
        <x:f>'原始订单'!H104</x:f>
        <x:v>0</x:v>
      </x:c>
      <x:c r="J104" s="491" t="n">
        <x:f>'原始订单'!I104</x:f>
        <x:v>0</x:v>
      </x:c>
      <x:c r="K104" s="492" t="n">
        <x:f>'原始订单'!J104</x:f>
        <x:v>118</x:v>
      </x:c>
      <x:c r="L104" s="492" t="n">
        <x:f>G104*H104</x:f>
        <x:v>239</x:v>
      </x:c>
      <x:c r="M104" s="492" t="n">
        <x:f>L104*I104</x:f>
        <x:v>0</x:v>
      </x:c>
      <x:c r="N104" s="492" t="n">
        <x:f>(L104-M104)*J104</x:f>
        <x:v>0</x:v>
      </x:c>
      <x:c r="O104" s="492" t="n">
        <x:f>L104-M104-N104</x:f>
        <x:v>239</x:v>
      </x:c>
      <x:c r="P104" s="492" t="n">
        <x:f>G104*K104*(1-J104)</x:f>
        <x:v>118</x:v>
      </x:c>
      <x:c r="Q104" s="492" t="n">
        <x:f>O104-P104</x:f>
        <x:v>121</x:v>
      </x:c>
      <x:c r="R104" s="490" t="n">
        <x:f>IF(O104=0,0,Q104/O104)</x:f>
        <x:v>0.5062761506276151</x:v>
      </x:c>
      <x:c r="S104" s="488" t="str">
        <x:f>IF(J104=1,"退款",IF(I104&gt;=0.2,"高折扣","正常"))</x:f>
        <x:v>正常</x:v>
      </x:c>
    </x:row>
    <x:row r="105">
      <x:c r="A105" s="486" t="n">
        <x:f>'原始订单'!A105</x:f>
        <x:v>46188</x:v>
      </x:c>
      <x:c r="B105" s="487" t="n">
        <x:f>DATE(YEAR(A105),MONTH(A105),1)</x:f>
        <x:v>46174</x:v>
      </x:c>
      <x:c r="C105" s="488" t="str">
        <x:f>'原始订单'!B105</x:f>
        <x:v>D20260101</x:v>
      </x:c>
      <x:c r="D105" s="488" t="str">
        <x:f>'原始订单'!C105</x:f>
        <x:v>C1128</x:v>
      </x:c>
      <x:c r="E105" s="488" t="str">
        <x:f>'原始订单'!D105</x:f>
        <x:v>抖音广告</x:v>
      </x:c>
      <x:c r="F105" s="488" t="str">
        <x:f>'原始订单'!E105</x:f>
        <x:v>便携补光灯</x:v>
      </x:c>
      <x:c r="G105" s="489" t="n">
        <x:f>'原始订单'!F105</x:f>
        <x:v>1</x:v>
      </x:c>
      <x:c r="H105" s="489" t="n">
        <x:f>'原始订单'!G105</x:f>
        <x:v>159</x:v>
      </x:c>
      <x:c r="I105" s="490" t="n">
        <x:f>'原始订单'!H105</x:f>
        <x:v>0.05</x:v>
      </x:c>
      <x:c r="J105" s="491" t="n">
        <x:f>'原始订单'!I105</x:f>
        <x:v>0</x:v>
      </x:c>
      <x:c r="K105" s="492" t="n">
        <x:f>'原始订单'!J105</x:f>
        <x:v>72</x:v>
      </x:c>
      <x:c r="L105" s="492" t="n">
        <x:f>G105*H105</x:f>
        <x:v>159</x:v>
      </x:c>
      <x:c r="M105" s="492" t="n">
        <x:f>L105*I105</x:f>
        <x:v>7.95</x:v>
      </x:c>
      <x:c r="N105" s="492" t="n">
        <x:f>(L105-M105)*J105</x:f>
        <x:v>0</x:v>
      </x:c>
      <x:c r="O105" s="492" t="n">
        <x:f>L105-M105-N105</x:f>
        <x:v>151.05</x:v>
      </x:c>
      <x:c r="P105" s="492" t="n">
        <x:f>G105*K105*(1-J105)</x:f>
        <x:v>72</x:v>
      </x:c>
      <x:c r="Q105" s="492" t="n">
        <x:f>O105-P105</x:f>
        <x:v>79.05000000000001</x:v>
      </x:c>
      <x:c r="R105" s="490" t="n">
        <x:f>IF(O105=0,0,Q105/O105)</x:f>
        <x:v>0.5233366434955313</x:v>
      </x:c>
      <x:c r="S105" s="488" t="str">
        <x:f>IF(J105=1,"退款",IF(I105&gt;=0.2,"高折扣","正常"))</x:f>
        <x:v>正常</x:v>
      </x:c>
    </x:row>
    <x:row r="106">
      <x:c r="A106" s="486" t="n">
        <x:f>'原始订单'!A106</x:f>
        <x:v>46188</x:v>
      </x:c>
      <x:c r="B106" s="487" t="n">
        <x:f>DATE(YEAR(A106),MONTH(A106),1)</x:f>
        <x:v>46174</x:v>
      </x:c>
      <x:c r="C106" s="488" t="str">
        <x:f>'原始订单'!B106</x:f>
        <x:v>D20260102</x:v>
      </x:c>
      <x:c r="D106" s="488" t="str">
        <x:f>'原始订单'!C106</x:f>
        <x:v>C1072</x:v>
      </x:c>
      <x:c r="E106" s="488" t="str">
        <x:f>'原始订单'!D106</x:f>
        <x:v>小红书</x:v>
      </x:c>
      <x:c r="F106" s="488" t="str">
        <x:f>'原始订单'!E106</x:f>
        <x:v>便携补光灯</x:v>
      </x:c>
      <x:c r="G106" s="489" t="n">
        <x:f>'原始订单'!F106</x:f>
        <x:v>3</x:v>
      </x:c>
      <x:c r="H106" s="489" t="n">
        <x:f>'原始订单'!G106</x:f>
        <x:v>159</x:v>
      </x:c>
      <x:c r="I106" s="490" t="n">
        <x:f>'原始订单'!H106</x:f>
        <x:v>0.05</x:v>
      </x:c>
      <x:c r="J106" s="491" t="n">
        <x:f>'原始订单'!I106</x:f>
        <x:v>0</x:v>
      </x:c>
      <x:c r="K106" s="492" t="n">
        <x:f>'原始订单'!J106</x:f>
        <x:v>72</x:v>
      </x:c>
      <x:c r="L106" s="492" t="n">
        <x:f>G106*H106</x:f>
        <x:v>477</x:v>
      </x:c>
      <x:c r="M106" s="492" t="n">
        <x:f>L106*I106</x:f>
        <x:v>23.85</x:v>
      </x:c>
      <x:c r="N106" s="492" t="n">
        <x:f>(L106-M106)*J106</x:f>
        <x:v>0</x:v>
      </x:c>
      <x:c r="O106" s="492" t="n">
        <x:f>L106-M106-N106</x:f>
        <x:v>453.15</x:v>
      </x:c>
      <x:c r="P106" s="492" t="n">
        <x:f>G106*K106*(1-J106)</x:f>
        <x:v>216</x:v>
      </x:c>
      <x:c r="Q106" s="492" t="n">
        <x:f>O106-P106</x:f>
        <x:v>237.14999999999998</x:v>
      </x:c>
      <x:c r="R106" s="490" t="n">
        <x:f>IF(O106=0,0,Q106/O106)</x:f>
        <x:v>0.5233366434955312</x:v>
      </x:c>
      <x:c r="S106" s="488" t="str">
        <x:f>IF(J106=1,"退款",IF(I106&gt;=0.2,"高折扣","正常"))</x:f>
        <x:v>正常</x:v>
      </x:c>
    </x:row>
    <x:row r="107">
      <x:c r="A107" s="486" t="n">
        <x:f>'原始订单'!A107</x:f>
        <x:v>46189</x:v>
      </x:c>
      <x:c r="B107" s="487" t="n">
        <x:f>DATE(YEAR(A107),MONTH(A107),1)</x:f>
        <x:v>46174</x:v>
      </x:c>
      <x:c r="C107" s="488" t="str">
        <x:f>'原始订单'!B107</x:f>
        <x:v>D20260103</x:v>
      </x:c>
      <x:c r="D107" s="488" t="str">
        <x:f>'原始订单'!C107</x:f>
        <x:v>C1107</x:v>
      </x:c>
      <x:c r="E107" s="488" t="str">
        <x:f>'原始订单'!D107</x:f>
        <x:v>自然搜索</x:v>
      </x:c>
      <x:c r="F107" s="488" t="str">
        <x:f>'原始订单'!E107</x:f>
        <x:v>轻量旅行杯</x:v>
      </x:c>
      <x:c r="G107" s="489" t="n">
        <x:f>'原始订单'!F107</x:f>
        <x:v>1</x:v>
      </x:c>
      <x:c r="H107" s="489" t="n">
        <x:f>'原始订单'!G107</x:f>
        <x:v>129</x:v>
      </x:c>
      <x:c r="I107" s="490" t="n">
        <x:f>'原始订单'!H107</x:f>
        <x:v>0</x:v>
      </x:c>
      <x:c r="J107" s="491" t="n">
        <x:f>'原始订单'!I107</x:f>
        <x:v>0</x:v>
      </x:c>
      <x:c r="K107" s="492" t="n">
        <x:f>'原始订单'!J107</x:f>
        <x:v>48</x:v>
      </x:c>
      <x:c r="L107" s="492" t="n">
        <x:f>G107*H107</x:f>
        <x:v>129</x:v>
      </x:c>
      <x:c r="M107" s="492" t="n">
        <x:f>L107*I107</x:f>
        <x:v>0</x:v>
      </x:c>
      <x:c r="N107" s="492" t="n">
        <x:f>(L107-M107)*J107</x:f>
        <x:v>0</x:v>
      </x:c>
      <x:c r="O107" s="492" t="n">
        <x:f>L107-M107-N107</x:f>
        <x:v>129</x:v>
      </x:c>
      <x:c r="P107" s="492" t="n">
        <x:f>G107*K107*(1-J107)</x:f>
        <x:v>48</x:v>
      </x:c>
      <x:c r="Q107" s="492" t="n">
        <x:f>O107-P107</x:f>
        <x:v>81</x:v>
      </x:c>
      <x:c r="R107" s="490" t="n">
        <x:f>IF(O107=0,0,Q107/O107)</x:f>
        <x:v>0.627906976744186</x:v>
      </x:c>
      <x:c r="S107" s="488" t="str">
        <x:f>IF(J107=1,"退款",IF(I107&gt;=0.2,"高折扣","正常"))</x:f>
        <x:v>正常</x:v>
      </x:c>
    </x:row>
    <x:row r="108">
      <x:c r="A108" s="486" t="n">
        <x:f>'原始订单'!A108</x:f>
        <x:v>46190</x:v>
      </x:c>
      <x:c r="B108" s="487" t="n">
        <x:f>DATE(YEAR(A108),MONTH(A108),1)</x:f>
        <x:v>46174</x:v>
      </x:c>
      <x:c r="C108" s="488" t="str">
        <x:f>'原始订单'!B108</x:f>
        <x:v>D20260104</x:v>
      </x:c>
      <x:c r="D108" s="488" t="str">
        <x:f>'原始订单'!C108</x:f>
        <x:v>C1049</x:v>
      </x:c>
      <x:c r="E108" s="488" t="str">
        <x:f>'原始订单'!D108</x:f>
        <x:v>小红书</x:v>
      </x:c>
      <x:c r="F108" s="488" t="str">
        <x:f>'原始订单'!E108</x:f>
        <x:v>便携补光灯</x:v>
      </x:c>
      <x:c r="G108" s="489" t="n">
        <x:f>'原始订单'!F108</x:f>
        <x:v>2</x:v>
      </x:c>
      <x:c r="H108" s="489" t="n">
        <x:f>'原始订单'!G108</x:f>
        <x:v>159</x:v>
      </x:c>
      <x:c r="I108" s="490" t="n">
        <x:f>'原始订单'!H108</x:f>
        <x:v>0.05</x:v>
      </x:c>
      <x:c r="J108" s="491" t="n">
        <x:f>'原始订单'!I108</x:f>
        <x:v>0</x:v>
      </x:c>
      <x:c r="K108" s="492" t="n">
        <x:f>'原始订单'!J108</x:f>
        <x:v>72</x:v>
      </x:c>
      <x:c r="L108" s="492" t="n">
        <x:f>G108*H108</x:f>
        <x:v>318</x:v>
      </x:c>
      <x:c r="M108" s="492" t="n">
        <x:f>L108*I108</x:f>
        <x:v>15.9</x:v>
      </x:c>
      <x:c r="N108" s="492" t="n">
        <x:f>(L108-M108)*J108</x:f>
        <x:v>0</x:v>
      </x:c>
      <x:c r="O108" s="492" t="n">
        <x:f>L108-M108-N108</x:f>
        <x:v>302.1</x:v>
      </x:c>
      <x:c r="P108" s="492" t="n">
        <x:f>G108*K108*(1-J108)</x:f>
        <x:v>144</x:v>
      </x:c>
      <x:c r="Q108" s="492" t="n">
        <x:f>O108-P108</x:f>
        <x:v>158.10000000000002</x:v>
      </x:c>
      <x:c r="R108" s="490" t="n">
        <x:f>IF(O108=0,0,Q108/O108)</x:f>
        <x:v>0.5233366434955313</x:v>
      </x:c>
      <x:c r="S108" s="488" t="str">
        <x:f>IF(J108=1,"退款",IF(I108&gt;=0.2,"高折扣","正常"))</x:f>
        <x:v>正常</x:v>
      </x:c>
    </x:row>
    <x:row r="109">
      <x:c r="A109" s="486" t="n">
        <x:f>'原始订单'!A109</x:f>
        <x:v>46191</x:v>
      </x:c>
      <x:c r="B109" s="487" t="n">
        <x:f>DATE(YEAR(A109),MONTH(A109),1)</x:f>
        <x:v>46174</x:v>
      </x:c>
      <x:c r="C109" s="488" t="str">
        <x:f>'原始订单'!B109</x:f>
        <x:v>D20260105</x:v>
      </x:c>
      <x:c r="D109" s="488" t="str">
        <x:f>'原始订单'!C109</x:f>
        <x:v>C1034</x:v>
      </x:c>
      <x:c r="E109" s="488" t="str">
        <x:f>'原始订单'!D109</x:f>
        <x:v>老客复购</x:v>
      </x:c>
      <x:c r="F109" s="488" t="str">
        <x:f>'原始订单'!E109</x:f>
        <x:v>轻量旅行杯</x:v>
      </x:c>
      <x:c r="G109" s="489" t="n">
        <x:f>'原始订单'!F109</x:f>
        <x:v>1</x:v>
      </x:c>
      <x:c r="H109" s="489" t="n">
        <x:f>'原始订单'!G109</x:f>
        <x:v>129</x:v>
      </x:c>
      <x:c r="I109" s="490" t="n">
        <x:f>'原始订单'!H109</x:f>
        <x:v>0</x:v>
      </x:c>
      <x:c r="J109" s="491" t="n">
        <x:f>'原始订单'!I109</x:f>
        <x:v>0</x:v>
      </x:c>
      <x:c r="K109" s="492" t="n">
        <x:f>'原始订单'!J109</x:f>
        <x:v>48</x:v>
      </x:c>
      <x:c r="L109" s="492" t="n">
        <x:f>G109*H109</x:f>
        <x:v>129</x:v>
      </x:c>
      <x:c r="M109" s="492" t="n">
        <x:f>L109*I109</x:f>
        <x:v>0</x:v>
      </x:c>
      <x:c r="N109" s="492" t="n">
        <x:f>(L109-M109)*J109</x:f>
        <x:v>0</x:v>
      </x:c>
      <x:c r="O109" s="492" t="n">
        <x:f>L109-M109-N109</x:f>
        <x:v>129</x:v>
      </x:c>
      <x:c r="P109" s="492" t="n">
        <x:f>G109*K109*(1-J109)</x:f>
        <x:v>48</x:v>
      </x:c>
      <x:c r="Q109" s="492" t="n">
        <x:f>O109-P109</x:f>
        <x:v>81</x:v>
      </x:c>
      <x:c r="R109" s="490" t="n">
        <x:f>IF(O109=0,0,Q109/O109)</x:f>
        <x:v>0.627906976744186</x:v>
      </x:c>
      <x:c r="S109" s="488" t="str">
        <x:f>IF(J109=1,"退款",IF(I109&gt;=0.2,"高折扣","正常"))</x:f>
        <x:v>正常</x:v>
      </x:c>
    </x:row>
    <x:row r="110">
      <x:c r="A110" s="486" t="n">
        <x:f>'原始订单'!A110</x:f>
        <x:v>46192</x:v>
      </x:c>
      <x:c r="B110" s="487" t="n">
        <x:f>DATE(YEAR(A110),MONTH(A110),1)</x:f>
        <x:v>46174</x:v>
      </x:c>
      <x:c r="C110" s="488" t="str">
        <x:f>'原始订单'!B110</x:f>
        <x:v>D20260106</x:v>
      </x:c>
      <x:c r="D110" s="488" t="str">
        <x:f>'原始订单'!C110</x:f>
        <x:v>C1132</x:v>
      </x:c>
      <x:c r="E110" s="488" t="str">
        <x:f>'原始订单'!D110</x:f>
        <x:v>抖音广告</x:v>
      </x:c>
      <x:c r="F110" s="488" t="str">
        <x:f>'原始订单'!E110</x:f>
        <x:v>桌面收纳架</x:v>
      </x:c>
      <x:c r="G110" s="489" t="n">
        <x:f>'原始订单'!F110</x:f>
        <x:v>1</x:v>
      </x:c>
      <x:c r="H110" s="489" t="n">
        <x:f>'原始订单'!G110</x:f>
        <x:v>89</x:v>
      </x:c>
      <x:c r="I110" s="490" t="n">
        <x:f>'原始订单'!H110</x:f>
        <x:v>0</x:v>
      </x:c>
      <x:c r="J110" s="491" t="n">
        <x:f>'原始订单'!I110</x:f>
        <x:v>0</x:v>
      </x:c>
      <x:c r="K110" s="492" t="n">
        <x:f>'原始订单'!J110</x:f>
        <x:v>32</x:v>
      </x:c>
      <x:c r="L110" s="492" t="n">
        <x:f>G110*H110</x:f>
        <x:v>89</x:v>
      </x:c>
      <x:c r="M110" s="492" t="n">
        <x:f>L110*I110</x:f>
        <x:v>0</x:v>
      </x:c>
      <x:c r="N110" s="492" t="n">
        <x:f>(L110-M110)*J110</x:f>
        <x:v>0</x:v>
      </x:c>
      <x:c r="O110" s="492" t="n">
        <x:f>L110-M110-N110</x:f>
        <x:v>89</x:v>
      </x:c>
      <x:c r="P110" s="492" t="n">
        <x:f>G110*K110*(1-J110)</x:f>
        <x:v>32</x:v>
      </x:c>
      <x:c r="Q110" s="492" t="n">
        <x:f>O110-P110</x:f>
        <x:v>57</x:v>
      </x:c>
      <x:c r="R110" s="490" t="n">
        <x:f>IF(O110=0,0,Q110/O110)</x:f>
        <x:v>0.6404494382022472</x:v>
      </x:c>
      <x:c r="S110" s="488" t="str">
        <x:f>IF(J110=1,"退款",IF(I110&gt;=0.2,"高折扣","正常"))</x:f>
        <x:v>正常</x:v>
      </x:c>
    </x:row>
    <x:row r="111">
      <x:c r="A111" s="486" t="n">
        <x:f>'原始订单'!A111</x:f>
        <x:v>46193</x:v>
      </x:c>
      <x:c r="B111" s="487" t="n">
        <x:f>DATE(YEAR(A111),MONTH(A111),1)</x:f>
        <x:v>46174</x:v>
      </x:c>
      <x:c r="C111" s="488" t="str">
        <x:f>'原始订单'!B111</x:f>
        <x:v>D20260107</x:v>
      </x:c>
      <x:c r="D111" s="488" t="str">
        <x:f>'原始订单'!C111</x:f>
        <x:v>C1001</x:v>
      </x:c>
      <x:c r="E111" s="488" t="str">
        <x:f>'原始订单'!D111</x:f>
        <x:v>老客复购</x:v>
      </x:c>
      <x:c r="F111" s="488" t="str">
        <x:f>'原始订单'!E111</x:f>
        <x:v>轻量旅行杯</x:v>
      </x:c>
      <x:c r="G111" s="489" t="n">
        <x:f>'原始订单'!F111</x:f>
        <x:v>2</x:v>
      </x:c>
      <x:c r="H111" s="489" t="n">
        <x:f>'原始订单'!G111</x:f>
        <x:v>129</x:v>
      </x:c>
      <x:c r="I111" s="490" t="n">
        <x:f>'原始订单'!H111</x:f>
        <x:v>0.1</x:v>
      </x:c>
      <x:c r="J111" s="491" t="n">
        <x:f>'原始订单'!I111</x:f>
        <x:v>1</x:v>
      </x:c>
      <x:c r="K111" s="492" t="n">
        <x:f>'原始订单'!J111</x:f>
        <x:v>48</x:v>
      </x:c>
      <x:c r="L111" s="492" t="n">
        <x:f>G111*H111</x:f>
        <x:v>258</x:v>
      </x:c>
      <x:c r="M111" s="492" t="n">
        <x:f>L111*I111</x:f>
        <x:v>25.8</x:v>
      </x:c>
      <x:c r="N111" s="492" t="n">
        <x:f>(L111-M111)*J111</x:f>
        <x:v>232.2</x:v>
      </x:c>
      <x:c r="O111" s="492" t="n">
        <x:f>L111-M111-N111</x:f>
        <x:v>0</x:v>
      </x:c>
      <x:c r="P111" s="492" t="n">
        <x:f>G111*K111*(1-J111)</x:f>
        <x:v>0</x:v>
      </x:c>
      <x:c r="Q111" s="492" t="n">
        <x:f>O111-P111</x:f>
        <x:v>0</x:v>
      </x:c>
      <x:c r="R111" s="490" t="n">
        <x:f>IF(O111=0,0,Q111/O111)</x:f>
        <x:v>0</x:v>
      </x:c>
      <x:c r="S111" s="488" t="str">
        <x:f>IF(J111=1,"退款",IF(I111&gt;=0.2,"高折扣","正常"))</x:f>
        <x:v>退款</x:v>
      </x:c>
    </x:row>
    <x:row r="112">
      <x:c r="A112" s="486" t="n">
        <x:f>'原始订单'!A112</x:f>
        <x:v>46193</x:v>
      </x:c>
      <x:c r="B112" s="487" t="n">
        <x:f>DATE(YEAR(A112),MONTH(A112),1)</x:f>
        <x:v>46174</x:v>
      </x:c>
      <x:c r="C112" s="488" t="str">
        <x:f>'原始订单'!B112</x:f>
        <x:v>D20260108</x:v>
      </x:c>
      <x:c r="D112" s="488" t="str">
        <x:f>'原始订单'!C112</x:f>
        <x:v>C1025</x:v>
      </x:c>
      <x:c r="E112" s="488" t="str">
        <x:f>'原始订单'!D112</x:f>
        <x:v>老客复购</x:v>
      </x:c>
      <x:c r="F112" s="488" t="str">
        <x:f>'原始订单'!E112</x:f>
        <x:v>桌面收纳架</x:v>
      </x:c>
      <x:c r="G112" s="489" t="n">
        <x:f>'原始订单'!F112</x:f>
        <x:v>2</x:v>
      </x:c>
      <x:c r="H112" s="489" t="n">
        <x:f>'原始订单'!G112</x:f>
        <x:v>89</x:v>
      </x:c>
      <x:c r="I112" s="490" t="n">
        <x:f>'原始订单'!H112</x:f>
        <x:v>0</x:v>
      </x:c>
      <x:c r="J112" s="491" t="n">
        <x:f>'原始订单'!I112</x:f>
        <x:v>0</x:v>
      </x:c>
      <x:c r="K112" s="492" t="n">
        <x:f>'原始订单'!J112</x:f>
        <x:v>32</x:v>
      </x:c>
      <x:c r="L112" s="492" t="n">
        <x:f>G112*H112</x:f>
        <x:v>178</x:v>
      </x:c>
      <x:c r="M112" s="492" t="n">
        <x:f>L112*I112</x:f>
        <x:v>0</x:v>
      </x:c>
      <x:c r="N112" s="492" t="n">
        <x:f>(L112-M112)*J112</x:f>
        <x:v>0</x:v>
      </x:c>
      <x:c r="O112" s="492" t="n">
        <x:f>L112-M112-N112</x:f>
        <x:v>178</x:v>
      </x:c>
      <x:c r="P112" s="492" t="n">
        <x:f>G112*K112*(1-J112)</x:f>
        <x:v>64</x:v>
      </x:c>
      <x:c r="Q112" s="492" t="n">
        <x:f>O112-P112</x:f>
        <x:v>114</x:v>
      </x:c>
      <x:c r="R112" s="490" t="n">
        <x:f>IF(O112=0,0,Q112/O112)</x:f>
        <x:v>0.6404494382022472</x:v>
      </x:c>
      <x:c r="S112" s="488" t="str">
        <x:f>IF(J112=1,"退款",IF(I112&gt;=0.2,"高折扣","正常"))</x:f>
        <x:v>正常</x:v>
      </x:c>
    </x:row>
    <x:row r="113">
      <x:c r="A113" s="486" t="n">
        <x:f>'原始订单'!A113</x:f>
        <x:v>46194</x:v>
      </x:c>
      <x:c r="B113" s="487" t="n">
        <x:f>DATE(YEAR(A113),MONTH(A113),1)</x:f>
        <x:v>46174</x:v>
      </x:c>
      <x:c r="C113" s="488" t="str">
        <x:f>'原始订单'!B113</x:f>
        <x:v>D20260109</x:v>
      </x:c>
      <x:c r="D113" s="488" t="str">
        <x:f>'原始订单'!C113</x:f>
        <x:v>C1082</x:v>
      </x:c>
      <x:c r="E113" s="488" t="str">
        <x:f>'原始订单'!D113</x:f>
        <x:v>自然搜索</x:v>
      </x:c>
      <x:c r="F113" s="488" t="str">
        <x:f>'原始订单'!E113</x:f>
        <x:v>便携补光灯</x:v>
      </x:c>
      <x:c r="G113" s="489" t="n">
        <x:f>'原始订单'!F113</x:f>
        <x:v>1</x:v>
      </x:c>
      <x:c r="H113" s="489" t="n">
        <x:f>'原始订单'!G113</x:f>
        <x:v>159</x:v>
      </x:c>
      <x:c r="I113" s="490" t="n">
        <x:f>'原始订单'!H113</x:f>
        <x:v>0.1</x:v>
      </x:c>
      <x:c r="J113" s="491" t="n">
        <x:f>'原始订单'!I113</x:f>
        <x:v>0</x:v>
      </x:c>
      <x:c r="K113" s="492" t="n">
        <x:f>'原始订单'!J113</x:f>
        <x:v>72</x:v>
      </x:c>
      <x:c r="L113" s="492" t="n">
        <x:f>G113*H113</x:f>
        <x:v>159</x:v>
      </x:c>
      <x:c r="M113" s="492" t="n">
        <x:f>L113*I113</x:f>
        <x:v>15.9</x:v>
      </x:c>
      <x:c r="N113" s="492" t="n">
        <x:f>(L113-M113)*J113</x:f>
        <x:v>0</x:v>
      </x:c>
      <x:c r="O113" s="492" t="n">
        <x:f>L113-M113-N113</x:f>
        <x:v>143.1</x:v>
      </x:c>
      <x:c r="P113" s="492" t="n">
        <x:f>G113*K113*(1-J113)</x:f>
        <x:v>72</x:v>
      </x:c>
      <x:c r="Q113" s="492" t="n">
        <x:f>O113-P113</x:f>
        <x:v>71.1</x:v>
      </x:c>
      <x:c r="R113" s="490" t="n">
        <x:f>IF(O113=0,0,Q113/O113)</x:f>
        <x:v>0.4968553459119497</x:v>
      </x:c>
      <x:c r="S113" s="488" t="str">
        <x:f>IF(J113=1,"退款",IF(I113&gt;=0.2,"高折扣","正常"))</x:f>
        <x:v>正常</x:v>
      </x:c>
    </x:row>
    <x:row r="114">
      <x:c r="A114" s="486" t="n">
        <x:f>'原始订单'!A114</x:f>
        <x:v>46194</x:v>
      </x:c>
      <x:c r="B114" s="487" t="n">
        <x:f>DATE(YEAR(A114),MONTH(A114),1)</x:f>
        <x:v>46174</x:v>
      </x:c>
      <x:c r="C114" s="488" t="str">
        <x:f>'原始订单'!B114</x:f>
        <x:v>D20260110</x:v>
      </x:c>
      <x:c r="D114" s="488" t="str">
        <x:f>'原始订单'!C114</x:f>
        <x:v>C1108</x:v>
      </x:c>
      <x:c r="E114" s="488" t="str">
        <x:f>'原始订单'!D114</x:f>
        <x:v>自然搜索</x:v>
      </x:c>
      <x:c r="F114" s="488" t="str">
        <x:f>'原始订单'!E114</x:f>
        <x:v>轻量旅行杯</x:v>
      </x:c>
      <x:c r="G114" s="489" t="n">
        <x:f>'原始订单'!F114</x:f>
        <x:v>1</x:v>
      </x:c>
      <x:c r="H114" s="489" t="n">
        <x:f>'原始订单'!G114</x:f>
        <x:v>129</x:v>
      </x:c>
      <x:c r="I114" s="490" t="n">
        <x:f>'原始订单'!H114</x:f>
        <x:v>0.1</x:v>
      </x:c>
      <x:c r="J114" s="491" t="n">
        <x:f>'原始订单'!I114</x:f>
        <x:v>0</x:v>
      </x:c>
      <x:c r="K114" s="492" t="n">
        <x:f>'原始订单'!J114</x:f>
        <x:v>48</x:v>
      </x:c>
      <x:c r="L114" s="492" t="n">
        <x:f>G114*H114</x:f>
        <x:v>129</x:v>
      </x:c>
      <x:c r="M114" s="492" t="n">
        <x:f>L114*I114</x:f>
        <x:v>12.9</x:v>
      </x:c>
      <x:c r="N114" s="492" t="n">
        <x:f>(L114-M114)*J114</x:f>
        <x:v>0</x:v>
      </x:c>
      <x:c r="O114" s="492" t="n">
        <x:f>L114-M114-N114</x:f>
        <x:v>116.1</x:v>
      </x:c>
      <x:c r="P114" s="492" t="n">
        <x:f>G114*K114*(1-J114)</x:f>
        <x:v>48</x:v>
      </x:c>
      <x:c r="Q114" s="492" t="n">
        <x:f>O114-P114</x:f>
        <x:v>68.1</x:v>
      </x:c>
      <x:c r="R114" s="490" t="n">
        <x:f>IF(O114=0,0,Q114/O114)</x:f>
        <x:v>0.58656330749354</x:v>
      </x:c>
      <x:c r="S114" s="488" t="str">
        <x:f>IF(J114=1,"退款",IF(I114&gt;=0.2,"高折扣","正常"))</x:f>
        <x:v>正常</x:v>
      </x:c>
    </x:row>
    <x:row r="115">
      <x:c r="A115" s="486" t="n">
        <x:f>'原始订单'!A115</x:f>
        <x:v>46194</x:v>
      </x:c>
      <x:c r="B115" s="487" t="n">
        <x:f>DATE(YEAR(A115),MONTH(A115),1)</x:f>
        <x:v>46174</x:v>
      </x:c>
      <x:c r="C115" s="488" t="str">
        <x:f>'原始订单'!B115</x:f>
        <x:v>D20260111</x:v>
      </x:c>
      <x:c r="D115" s="488" t="str">
        <x:f>'原始订单'!C115</x:f>
        <x:v>C1037</x:v>
      </x:c>
      <x:c r="E115" s="488" t="str">
        <x:f>'原始订单'!D115</x:f>
        <x:v>自然搜索</x:v>
      </x:c>
      <x:c r="F115" s="488" t="str">
        <x:f>'原始订单'!E115</x:f>
        <x:v>无线标签机</x:v>
      </x:c>
      <x:c r="G115" s="489" t="n">
        <x:f>'原始订单'!F115</x:f>
        <x:v>2</x:v>
      </x:c>
      <x:c r="H115" s="489" t="n">
        <x:f>'原始订单'!G115</x:f>
        <x:v>239</x:v>
      </x:c>
      <x:c r="I115" s="490" t="n">
        <x:f>'原始订单'!H115</x:f>
        <x:v>0.05</x:v>
      </x:c>
      <x:c r="J115" s="491" t="n">
        <x:f>'原始订单'!I115</x:f>
        <x:v>0</x:v>
      </x:c>
      <x:c r="K115" s="492" t="n">
        <x:f>'原始订单'!J115</x:f>
        <x:v>118</x:v>
      </x:c>
      <x:c r="L115" s="492" t="n">
        <x:f>G115*H115</x:f>
        <x:v>478</x:v>
      </x:c>
      <x:c r="M115" s="492" t="n">
        <x:f>L115*I115</x:f>
        <x:v>23.900000000000002</x:v>
      </x:c>
      <x:c r="N115" s="492" t="n">
        <x:f>(L115-M115)*J115</x:f>
        <x:v>0</x:v>
      </x:c>
      <x:c r="O115" s="492" t="n">
        <x:f>L115-M115-N115</x:f>
        <x:v>454.1</x:v>
      </x:c>
      <x:c r="P115" s="492" t="n">
        <x:f>G115*K115*(1-J115)</x:f>
        <x:v>236</x:v>
      </x:c>
      <x:c r="Q115" s="492" t="n">
        <x:f>O115-P115</x:f>
        <x:v>218.10000000000002</x:v>
      </x:c>
      <x:c r="R115" s="490" t="n">
        <x:f>IF(O115=0,0,Q115/O115)</x:f>
        <x:v>0.48029068487117377</x:v>
      </x:c>
      <x:c r="S115" s="488" t="str">
        <x:f>IF(J115=1,"退款",IF(I115&gt;=0.2,"高折扣","正常"))</x:f>
        <x:v>正常</x:v>
      </x:c>
    </x:row>
    <x:row r="116">
      <x:c r="A116" s="486" t="n">
        <x:f>'原始订单'!A116</x:f>
        <x:v>46194</x:v>
      </x:c>
      <x:c r="B116" s="487" t="n">
        <x:f>DATE(YEAR(A116),MONTH(A116),1)</x:f>
        <x:v>46174</x:v>
      </x:c>
      <x:c r="C116" s="488" t="str">
        <x:f>'原始订单'!B116</x:f>
        <x:v>D20260112</x:v>
      </x:c>
      <x:c r="D116" s="488" t="str">
        <x:f>'原始订单'!C116</x:f>
        <x:v>C1140</x:v>
      </x:c>
      <x:c r="E116" s="488" t="str">
        <x:f>'原始订单'!D116</x:f>
        <x:v>小红书</x:v>
      </x:c>
      <x:c r="F116" s="488" t="str">
        <x:f>'原始订单'!E116</x:f>
        <x:v>轻量旅行杯</x:v>
      </x:c>
      <x:c r="G116" s="489" t="n">
        <x:f>'原始订单'!F116</x:f>
        <x:v>1</x:v>
      </x:c>
      <x:c r="H116" s="489" t="n">
        <x:f>'原始订单'!G116</x:f>
        <x:v>129</x:v>
      </x:c>
      <x:c r="I116" s="490" t="n">
        <x:f>'原始订单'!H116</x:f>
        <x:v>0.05</x:v>
      </x:c>
      <x:c r="J116" s="491" t="n">
        <x:f>'原始订单'!I116</x:f>
        <x:v>0</x:v>
      </x:c>
      <x:c r="K116" s="492" t="n">
        <x:f>'原始订单'!J116</x:f>
        <x:v>48</x:v>
      </x:c>
      <x:c r="L116" s="492" t="n">
        <x:f>G116*H116</x:f>
        <x:v>129</x:v>
      </x:c>
      <x:c r="M116" s="492" t="n">
        <x:f>L116*I116</x:f>
        <x:v>6.45</x:v>
      </x:c>
      <x:c r="N116" s="492" t="n">
        <x:f>(L116-M116)*J116</x:f>
        <x:v>0</x:v>
      </x:c>
      <x:c r="O116" s="492" t="n">
        <x:f>L116-M116-N116</x:f>
        <x:v>122.55</x:v>
      </x:c>
      <x:c r="P116" s="492" t="n">
        <x:f>G116*K116*(1-J116)</x:f>
        <x:v>48</x:v>
      </x:c>
      <x:c r="Q116" s="492" t="n">
        <x:f>O116-P116</x:f>
        <x:v>74.55</x:v>
      </x:c>
      <x:c r="R116" s="490" t="n">
        <x:f>IF(O116=0,0,Q116/O116)</x:f>
        <x:v>0.6083231334149327</x:v>
      </x:c>
      <x:c r="S116" s="488" t="str">
        <x:f>IF(J116=1,"退款",IF(I116&gt;=0.2,"高折扣","正常"))</x:f>
        <x:v>正常</x:v>
      </x:c>
    </x:row>
    <x:row r="117">
      <x:c r="A117" s="486" t="n">
        <x:f>'原始订单'!A117</x:f>
        <x:v>46194</x:v>
      </x:c>
      <x:c r="B117" s="487" t="n">
        <x:f>DATE(YEAR(A117),MONTH(A117),1)</x:f>
        <x:v>46174</x:v>
      </x:c>
      <x:c r="C117" s="488" t="str">
        <x:f>'原始订单'!B117</x:f>
        <x:v>D20260113</x:v>
      </x:c>
      <x:c r="D117" s="488" t="str">
        <x:f>'原始订单'!C117</x:f>
        <x:v>C1040</x:v>
      </x:c>
      <x:c r="E117" s="488" t="str">
        <x:f>'原始订单'!D117</x:f>
        <x:v>老客复购</x:v>
      </x:c>
      <x:c r="F117" s="488" t="str">
        <x:f>'原始订单'!E117</x:f>
        <x:v>便携补光灯</x:v>
      </x:c>
      <x:c r="G117" s="489" t="n">
        <x:f>'原始订单'!F117</x:f>
        <x:v>1</x:v>
      </x:c>
      <x:c r="H117" s="489" t="n">
        <x:f>'原始订单'!G117</x:f>
        <x:v>159</x:v>
      </x:c>
      <x:c r="I117" s="490" t="n">
        <x:f>'原始订单'!H117</x:f>
        <x:v>0.05</x:v>
      </x:c>
      <x:c r="J117" s="491" t="n">
        <x:f>'原始订单'!I117</x:f>
        <x:v>0</x:v>
      </x:c>
      <x:c r="K117" s="492" t="n">
        <x:f>'原始订单'!J117</x:f>
        <x:v>72</x:v>
      </x:c>
      <x:c r="L117" s="492" t="n">
        <x:f>G117*H117</x:f>
        <x:v>159</x:v>
      </x:c>
      <x:c r="M117" s="492" t="n">
        <x:f>L117*I117</x:f>
        <x:v>7.95</x:v>
      </x:c>
      <x:c r="N117" s="492" t="n">
        <x:f>(L117-M117)*J117</x:f>
        <x:v>0</x:v>
      </x:c>
      <x:c r="O117" s="492" t="n">
        <x:f>L117-M117-N117</x:f>
        <x:v>151.05</x:v>
      </x:c>
      <x:c r="P117" s="492" t="n">
        <x:f>G117*K117*(1-J117)</x:f>
        <x:v>72</x:v>
      </x:c>
      <x:c r="Q117" s="492" t="n">
        <x:f>O117-P117</x:f>
        <x:v>79.05000000000001</x:v>
      </x:c>
      <x:c r="R117" s="490" t="n">
        <x:f>IF(O117=0,0,Q117/O117)</x:f>
        <x:v>0.5233366434955313</x:v>
      </x:c>
      <x:c r="S117" s="488" t="str">
        <x:f>IF(J117=1,"退款",IF(I117&gt;=0.2,"高折扣","正常"))</x:f>
        <x:v>正常</x:v>
      </x:c>
    </x:row>
    <x:row r="118">
      <x:c r="A118" s="486" t="n">
        <x:f>'原始订单'!A118</x:f>
        <x:v>46194</x:v>
      </x:c>
      <x:c r="B118" s="487" t="n">
        <x:f>DATE(YEAR(A118),MONTH(A118),1)</x:f>
        <x:v>46174</x:v>
      </x:c>
      <x:c r="C118" s="488" t="str">
        <x:f>'原始订单'!B118</x:f>
        <x:v>D20260114</x:v>
      </x:c>
      <x:c r="D118" s="488" t="str">
        <x:f>'原始订单'!C118</x:f>
        <x:v>C1021</x:v>
      </x:c>
      <x:c r="E118" s="488" t="str">
        <x:f>'原始订单'!D118</x:f>
        <x:v>老客复购</x:v>
      </x:c>
      <x:c r="F118" s="488" t="str">
        <x:f>'原始订单'!E118</x:f>
        <x:v>无线标签机</x:v>
      </x:c>
      <x:c r="G118" s="489" t="n">
        <x:f>'原始订单'!F118</x:f>
        <x:v>1</x:v>
      </x:c>
      <x:c r="H118" s="489" t="n">
        <x:f>'原始订单'!G118</x:f>
        <x:v>239</x:v>
      </x:c>
      <x:c r="I118" s="490" t="n">
        <x:f>'原始订单'!H118</x:f>
        <x:v>0.05</x:v>
      </x:c>
      <x:c r="J118" s="491" t="n">
        <x:f>'原始订单'!I118</x:f>
        <x:v>0</x:v>
      </x:c>
      <x:c r="K118" s="492" t="n">
        <x:f>'原始订单'!J118</x:f>
        <x:v>118</x:v>
      </x:c>
      <x:c r="L118" s="492" t="n">
        <x:f>G118*H118</x:f>
        <x:v>239</x:v>
      </x:c>
      <x:c r="M118" s="492" t="n">
        <x:f>L118*I118</x:f>
        <x:v>11.950000000000001</x:v>
      </x:c>
      <x:c r="N118" s="492" t="n">
        <x:f>(L118-M118)*J118</x:f>
        <x:v>0</x:v>
      </x:c>
      <x:c r="O118" s="492" t="n">
        <x:f>L118-M118-N118</x:f>
        <x:v>227.05</x:v>
      </x:c>
      <x:c r="P118" s="492" t="n">
        <x:f>G118*K118*(1-J118)</x:f>
        <x:v>118</x:v>
      </x:c>
      <x:c r="Q118" s="492" t="n">
        <x:f>O118-P118</x:f>
        <x:v>109.05000000000001</x:v>
      </x:c>
      <x:c r="R118" s="490" t="n">
        <x:f>IF(O118=0,0,Q118/O118)</x:f>
        <x:v>0.48029068487117377</x:v>
      </x:c>
      <x:c r="S118" s="488" t="str">
        <x:f>IF(J118=1,"退款",IF(I118&gt;=0.2,"高折扣","正常"))</x:f>
        <x:v>正常</x:v>
      </x:c>
    </x:row>
    <x:row r="119">
      <x:c r="A119" s="486" t="n">
        <x:f>'原始订单'!A119</x:f>
        <x:v>46194</x:v>
      </x:c>
      <x:c r="B119" s="487" t="n">
        <x:f>DATE(YEAR(A119),MONTH(A119),1)</x:f>
        <x:v>46174</x:v>
      </x:c>
      <x:c r="C119" s="488" t="str">
        <x:f>'原始订单'!B119</x:f>
        <x:v>D20260115</x:v>
      </x:c>
      <x:c r="D119" s="488" t="str">
        <x:f>'原始订单'!C119</x:f>
        <x:v>C1017</x:v>
      </x:c>
      <x:c r="E119" s="488" t="str">
        <x:f>'原始订单'!D119</x:f>
        <x:v>老客复购</x:v>
      </x:c>
      <x:c r="F119" s="488" t="str">
        <x:f>'原始订单'!E119</x:f>
        <x:v>轻量旅行杯</x:v>
      </x:c>
      <x:c r="G119" s="489" t="n">
        <x:f>'原始订单'!F119</x:f>
        <x:v>1</x:v>
      </x:c>
      <x:c r="H119" s="489" t="n">
        <x:f>'原始订单'!G119</x:f>
        <x:v>129</x:v>
      </x:c>
      <x:c r="I119" s="490" t="n">
        <x:f>'原始订单'!H119</x:f>
        <x:v>0</x:v>
      </x:c>
      <x:c r="J119" s="491" t="n">
        <x:f>'原始订单'!I119</x:f>
        <x:v>0</x:v>
      </x:c>
      <x:c r="K119" s="492" t="n">
        <x:f>'原始订单'!J119</x:f>
        <x:v>48</x:v>
      </x:c>
      <x:c r="L119" s="492" t="n">
        <x:f>G119*H119</x:f>
        <x:v>129</x:v>
      </x:c>
      <x:c r="M119" s="492" t="n">
        <x:f>L119*I119</x:f>
        <x:v>0</x:v>
      </x:c>
      <x:c r="N119" s="492" t="n">
        <x:f>(L119-M119)*J119</x:f>
        <x:v>0</x:v>
      </x:c>
      <x:c r="O119" s="492" t="n">
        <x:f>L119-M119-N119</x:f>
        <x:v>129</x:v>
      </x:c>
      <x:c r="P119" s="492" t="n">
        <x:f>G119*K119*(1-J119)</x:f>
        <x:v>48</x:v>
      </x:c>
      <x:c r="Q119" s="492" t="n">
        <x:f>O119-P119</x:f>
        <x:v>81</x:v>
      </x:c>
      <x:c r="R119" s="490" t="n">
        <x:f>IF(O119=0,0,Q119/O119)</x:f>
        <x:v>0.627906976744186</x:v>
      </x:c>
      <x:c r="S119" s="488" t="str">
        <x:f>IF(J119=1,"退款",IF(I119&gt;=0.2,"高折扣","正常"))</x:f>
        <x:v>正常</x:v>
      </x:c>
    </x:row>
    <x:row r="120">
      <x:c r="A120" s="486" t="n">
        <x:f>'原始订单'!A120</x:f>
        <x:v>46195</x:v>
      </x:c>
      <x:c r="B120" s="487" t="n">
        <x:f>DATE(YEAR(A120),MONTH(A120),1)</x:f>
        <x:v>46174</x:v>
      </x:c>
      <x:c r="C120" s="488" t="str">
        <x:f>'原始订单'!B120</x:f>
        <x:v>D20260116</x:v>
      </x:c>
      <x:c r="D120" s="488" t="str">
        <x:f>'原始订单'!C120</x:f>
        <x:v>C1008</x:v>
      </x:c>
      <x:c r="E120" s="488" t="str">
        <x:f>'原始订单'!D120</x:f>
        <x:v>自然搜索</x:v>
      </x:c>
      <x:c r="F120" s="488" t="str">
        <x:f>'原始订单'!E120</x:f>
        <x:v>便携补光灯</x:v>
      </x:c>
      <x:c r="G120" s="489" t="n">
        <x:f>'原始订单'!F120</x:f>
        <x:v>3</x:v>
      </x:c>
      <x:c r="H120" s="489" t="n">
        <x:f>'原始订单'!G120</x:f>
        <x:v>159</x:v>
      </x:c>
      <x:c r="I120" s="490" t="n">
        <x:f>'原始订单'!H120</x:f>
        <x:v>0</x:v>
      </x:c>
      <x:c r="J120" s="491" t="n">
        <x:f>'原始订单'!I120</x:f>
        <x:v>0</x:v>
      </x:c>
      <x:c r="K120" s="492" t="n">
        <x:f>'原始订单'!J120</x:f>
        <x:v>72</x:v>
      </x:c>
      <x:c r="L120" s="492" t="n">
        <x:f>G120*H120</x:f>
        <x:v>477</x:v>
      </x:c>
      <x:c r="M120" s="492" t="n">
        <x:f>L120*I120</x:f>
        <x:v>0</x:v>
      </x:c>
      <x:c r="N120" s="492" t="n">
        <x:f>(L120-M120)*J120</x:f>
        <x:v>0</x:v>
      </x:c>
      <x:c r="O120" s="492" t="n">
        <x:f>L120-M120-N120</x:f>
        <x:v>477</x:v>
      </x:c>
      <x:c r="P120" s="492" t="n">
        <x:f>G120*K120*(1-J120)</x:f>
        <x:v>216</x:v>
      </x:c>
      <x:c r="Q120" s="492" t="n">
        <x:f>O120-P120</x:f>
        <x:v>261</x:v>
      </x:c>
      <x:c r="R120" s="490" t="n">
        <x:f>IF(O120=0,0,Q120/O120)</x:f>
        <x:v>0.5471698113207547</x:v>
      </x:c>
      <x:c r="S120" s="488" t="str">
        <x:f>IF(J120=1,"退款",IF(I120&gt;=0.2,"高折扣","正常"))</x:f>
        <x:v>正常</x:v>
      </x:c>
    </x:row>
    <x:row r="121">
      <x:c r="A121" s="486" t="n">
        <x:f>'原始订单'!A121</x:f>
        <x:v>46195</x:v>
      </x:c>
      <x:c r="B121" s="487" t="n">
        <x:f>DATE(YEAR(A121),MONTH(A121),1)</x:f>
        <x:v>46174</x:v>
      </x:c>
      <x:c r="C121" s="488" t="str">
        <x:f>'原始订单'!B121</x:f>
        <x:v>D20260117</x:v>
      </x:c>
      <x:c r="D121" s="488" t="str">
        <x:f>'原始订单'!C121</x:f>
        <x:v>C1001</x:v>
      </x:c>
      <x:c r="E121" s="488" t="str">
        <x:f>'原始订单'!D121</x:f>
        <x:v>老客复购</x:v>
      </x:c>
      <x:c r="F121" s="488" t="str">
        <x:f>'原始订单'!E121</x:f>
        <x:v>无线标签机</x:v>
      </x:c>
      <x:c r="G121" s="489" t="n">
        <x:f>'原始订单'!F121</x:f>
        <x:v>1</x:v>
      </x:c>
      <x:c r="H121" s="489" t="n">
        <x:f>'原始订单'!G121</x:f>
        <x:v>239</x:v>
      </x:c>
      <x:c r="I121" s="490" t="n">
        <x:f>'原始订单'!H121</x:f>
        <x:v>0.05</x:v>
      </x:c>
      <x:c r="J121" s="491" t="n">
        <x:f>'原始订单'!I121</x:f>
        <x:v>0</x:v>
      </x:c>
      <x:c r="K121" s="492" t="n">
        <x:f>'原始订单'!J121</x:f>
        <x:v>118</x:v>
      </x:c>
      <x:c r="L121" s="492" t="n">
        <x:f>G121*H121</x:f>
        <x:v>239</x:v>
      </x:c>
      <x:c r="M121" s="492" t="n">
        <x:f>L121*I121</x:f>
        <x:v>11.950000000000001</x:v>
      </x:c>
      <x:c r="N121" s="492" t="n">
        <x:f>(L121-M121)*J121</x:f>
        <x:v>0</x:v>
      </x:c>
      <x:c r="O121" s="492" t="n">
        <x:f>L121-M121-N121</x:f>
        <x:v>227.05</x:v>
      </x:c>
      <x:c r="P121" s="492" t="n">
        <x:f>G121*K121*(1-J121)</x:f>
        <x:v>118</x:v>
      </x:c>
      <x:c r="Q121" s="492" t="n">
        <x:f>O121-P121</x:f>
        <x:v>109.05000000000001</x:v>
      </x:c>
      <x:c r="R121" s="490" t="n">
        <x:f>IF(O121=0,0,Q121/O121)</x:f>
        <x:v>0.48029068487117377</x:v>
      </x:c>
      <x:c r="S121" s="488" t="str">
        <x:f>IF(J121=1,"退款",IF(I121&gt;=0.2,"高折扣","正常"))</x:f>
        <x:v>正常</x:v>
      </x:c>
    </x:row>
    <x:row r="122">
      <x:c r="A122" s="486" t="n">
        <x:f>'原始订单'!A122</x:f>
        <x:v>46195</x:v>
      </x:c>
      <x:c r="B122" s="487" t="n">
        <x:f>DATE(YEAR(A122),MONTH(A122),1)</x:f>
        <x:v>46174</x:v>
      </x:c>
      <x:c r="C122" s="488" t="str">
        <x:f>'原始订单'!B122</x:f>
        <x:v>D20260118</x:v>
      </x:c>
      <x:c r="D122" s="488" t="str">
        <x:f>'原始订单'!C122</x:f>
        <x:v>C1015</x:v>
      </x:c>
      <x:c r="E122" s="488" t="str">
        <x:f>'原始订单'!D122</x:f>
        <x:v>抖音广告</x:v>
      </x:c>
      <x:c r="F122" s="488" t="str">
        <x:f>'原始订单'!E122</x:f>
        <x:v>便携补光灯</x:v>
      </x:c>
      <x:c r="G122" s="489" t="n">
        <x:f>'原始订单'!F122</x:f>
        <x:v>2</x:v>
      </x:c>
      <x:c r="H122" s="489" t="n">
        <x:f>'原始订单'!G122</x:f>
        <x:v>159</x:v>
      </x:c>
      <x:c r="I122" s="490" t="n">
        <x:f>'原始订单'!H122</x:f>
        <x:v>0.2</x:v>
      </x:c>
      <x:c r="J122" s="491" t="n">
        <x:f>'原始订单'!I122</x:f>
        <x:v>0</x:v>
      </x:c>
      <x:c r="K122" s="492" t="n">
        <x:f>'原始订单'!J122</x:f>
        <x:v>72</x:v>
      </x:c>
      <x:c r="L122" s="492" t="n">
        <x:f>G122*H122</x:f>
        <x:v>318</x:v>
      </x:c>
      <x:c r="M122" s="492" t="n">
        <x:f>L122*I122</x:f>
        <x:v>63.6</x:v>
      </x:c>
      <x:c r="N122" s="492" t="n">
        <x:f>(L122-M122)*J122</x:f>
        <x:v>0</x:v>
      </x:c>
      <x:c r="O122" s="492" t="n">
        <x:f>L122-M122-N122</x:f>
        <x:v>254.4</x:v>
      </x:c>
      <x:c r="P122" s="492" t="n">
        <x:f>G122*K122*(1-J122)</x:f>
        <x:v>144</x:v>
      </x:c>
      <x:c r="Q122" s="492" t="n">
        <x:f>O122-P122</x:f>
        <x:v>110.4</x:v>
      </x:c>
      <x:c r="R122" s="490" t="n">
        <x:f>IF(O122=0,0,Q122/O122)</x:f>
        <x:v>0.4339622641509434</x:v>
      </x:c>
      <x:c r="S122" s="488" t="str">
        <x:f>IF(J122=1,"退款",IF(I122&gt;=0.2,"高折扣","正常"))</x:f>
        <x:v>高折扣</x:v>
      </x:c>
    </x:row>
    <x:row r="123">
      <x:c r="A123" s="486" t="n">
        <x:f>'原始订单'!A123</x:f>
        <x:v>46196</x:v>
      </x:c>
      <x:c r="B123" s="487" t="n">
        <x:f>DATE(YEAR(A123),MONTH(A123),1)</x:f>
        <x:v>46174</x:v>
      </x:c>
      <x:c r="C123" s="488" t="str">
        <x:f>'原始订单'!B123</x:f>
        <x:v>D20260119</x:v>
      </x:c>
      <x:c r="D123" s="488" t="str">
        <x:f>'原始订单'!C123</x:f>
        <x:v>C1048</x:v>
      </x:c>
      <x:c r="E123" s="488" t="str">
        <x:f>'原始订单'!D123</x:f>
        <x:v>自然搜索</x:v>
      </x:c>
      <x:c r="F123" s="488" t="str">
        <x:f>'原始订单'!E123</x:f>
        <x:v>轻量旅行杯</x:v>
      </x:c>
      <x:c r="G123" s="489" t="n">
        <x:f>'原始订单'!F123</x:f>
        <x:v>1</x:v>
      </x:c>
      <x:c r="H123" s="489" t="n">
        <x:f>'原始订单'!G123</x:f>
        <x:v>129</x:v>
      </x:c>
      <x:c r="I123" s="490" t="n">
        <x:f>'原始订单'!H123</x:f>
        <x:v>0</x:v>
      </x:c>
      <x:c r="J123" s="491" t="n">
        <x:f>'原始订单'!I123</x:f>
        <x:v>0</x:v>
      </x:c>
      <x:c r="K123" s="492" t="n">
        <x:f>'原始订单'!J123</x:f>
        <x:v>48</x:v>
      </x:c>
      <x:c r="L123" s="492" t="n">
        <x:f>G123*H123</x:f>
        <x:v>129</x:v>
      </x:c>
      <x:c r="M123" s="492" t="n">
        <x:f>L123*I123</x:f>
        <x:v>0</x:v>
      </x:c>
      <x:c r="N123" s="492" t="n">
        <x:f>(L123-M123)*J123</x:f>
        <x:v>0</x:v>
      </x:c>
      <x:c r="O123" s="492" t="n">
        <x:f>L123-M123-N123</x:f>
        <x:v>129</x:v>
      </x:c>
      <x:c r="P123" s="492" t="n">
        <x:f>G123*K123*(1-J123)</x:f>
        <x:v>48</x:v>
      </x:c>
      <x:c r="Q123" s="492" t="n">
        <x:f>O123-P123</x:f>
        <x:v>81</x:v>
      </x:c>
      <x:c r="R123" s="490" t="n">
        <x:f>IF(O123=0,0,Q123/O123)</x:f>
        <x:v>0.627906976744186</x:v>
      </x:c>
      <x:c r="S123" s="488" t="str">
        <x:f>IF(J123=1,"退款",IF(I123&gt;=0.2,"高折扣","正常"))</x:f>
        <x:v>正常</x:v>
      </x:c>
    </x:row>
    <x:row r="124">
      <x:c r="A124" s="486" t="n">
        <x:f>'原始订单'!A124</x:f>
        <x:v>46196</x:v>
      </x:c>
      <x:c r="B124" s="487" t="n">
        <x:f>DATE(YEAR(A124),MONTH(A124),1)</x:f>
        <x:v>46174</x:v>
      </x:c>
      <x:c r="C124" s="488" t="str">
        <x:f>'原始订单'!B124</x:f>
        <x:v>D20260120</x:v>
      </x:c>
      <x:c r="D124" s="488" t="str">
        <x:f>'原始订单'!C124</x:f>
        <x:v>C1106</x:v>
      </x:c>
      <x:c r="E124" s="488" t="str">
        <x:f>'原始订单'!D124</x:f>
        <x:v>抖音广告</x:v>
      </x:c>
      <x:c r="F124" s="488" t="str">
        <x:f>'原始订单'!E124</x:f>
        <x:v>轻量旅行杯</x:v>
      </x:c>
      <x:c r="G124" s="489" t="n">
        <x:f>'原始订单'!F124</x:f>
        <x:v>1</x:v>
      </x:c>
      <x:c r="H124" s="489" t="n">
        <x:f>'原始订单'!G124</x:f>
        <x:v>129</x:v>
      </x:c>
      <x:c r="I124" s="490" t="n">
        <x:f>'原始订单'!H124</x:f>
        <x:v>0.2</x:v>
      </x:c>
      <x:c r="J124" s="491" t="n">
        <x:f>'原始订单'!I124</x:f>
        <x:v>0</x:v>
      </x:c>
      <x:c r="K124" s="492" t="n">
        <x:f>'原始订单'!J124</x:f>
        <x:v>48</x:v>
      </x:c>
      <x:c r="L124" s="492" t="n">
        <x:f>G124*H124</x:f>
        <x:v>129</x:v>
      </x:c>
      <x:c r="M124" s="492" t="n">
        <x:f>L124*I124</x:f>
        <x:v>25.8</x:v>
      </x:c>
      <x:c r="N124" s="492" t="n">
        <x:f>(L124-M124)*J124</x:f>
        <x:v>0</x:v>
      </x:c>
      <x:c r="O124" s="492" t="n">
        <x:f>L124-M124-N124</x:f>
        <x:v>103.2</x:v>
      </x:c>
      <x:c r="P124" s="492" t="n">
        <x:f>G124*K124*(1-J124)</x:f>
        <x:v>48</x:v>
      </x:c>
      <x:c r="Q124" s="492" t="n">
        <x:f>O124-P124</x:f>
        <x:v>55.2</x:v>
      </x:c>
      <x:c r="R124" s="490" t="n">
        <x:f>IF(O124=0,0,Q124/O124)</x:f>
        <x:v>0.5348837209302326</x:v>
      </x:c>
      <x:c r="S124" s="488" t="str">
        <x:f>IF(J124=1,"退款",IF(I124&gt;=0.2,"高折扣","正常"))</x:f>
        <x:v>高折扣</x:v>
      </x:c>
    </x:row>
    <x:row r="125">
      <x:c r="A125" s="486" t="n">
        <x:f>'原始订单'!A125</x:f>
        <x:v>46196</x:v>
      </x:c>
      <x:c r="B125" s="487" t="n">
        <x:f>DATE(YEAR(A125),MONTH(A125),1)</x:f>
        <x:v>46174</x:v>
      </x:c>
      <x:c r="C125" s="488" t="str">
        <x:f>'原始订单'!B125</x:f>
        <x:v>D20260121</x:v>
      </x:c>
      <x:c r="D125" s="488" t="str">
        <x:f>'原始订单'!C125</x:f>
        <x:v>C1036</x:v>
      </x:c>
      <x:c r="E125" s="488" t="str">
        <x:f>'原始订单'!D125</x:f>
        <x:v>自然搜索</x:v>
      </x:c>
      <x:c r="F125" s="488" t="str">
        <x:f>'原始订单'!E125</x:f>
        <x:v>无线标签机</x:v>
      </x:c>
      <x:c r="G125" s="489" t="n">
        <x:f>'原始订单'!F125</x:f>
        <x:v>1</x:v>
      </x:c>
      <x:c r="H125" s="489" t="n">
        <x:f>'原始订单'!G125</x:f>
        <x:v>239</x:v>
      </x:c>
      <x:c r="I125" s="490" t="n">
        <x:f>'原始订单'!H125</x:f>
        <x:v>0.05</x:v>
      </x:c>
      <x:c r="J125" s="491" t="n">
        <x:f>'原始订单'!I125</x:f>
        <x:v>0</x:v>
      </x:c>
      <x:c r="K125" s="492" t="n">
        <x:f>'原始订单'!J125</x:f>
        <x:v>118</x:v>
      </x:c>
      <x:c r="L125" s="492" t="n">
        <x:f>G125*H125</x:f>
        <x:v>239</x:v>
      </x:c>
      <x:c r="M125" s="492" t="n">
        <x:f>L125*I125</x:f>
        <x:v>11.950000000000001</x:v>
      </x:c>
      <x:c r="N125" s="492" t="n">
        <x:f>(L125-M125)*J125</x:f>
        <x:v>0</x:v>
      </x:c>
      <x:c r="O125" s="492" t="n">
        <x:f>L125-M125-N125</x:f>
        <x:v>227.05</x:v>
      </x:c>
      <x:c r="P125" s="492" t="n">
        <x:f>G125*K125*(1-J125)</x:f>
        <x:v>118</x:v>
      </x:c>
      <x:c r="Q125" s="492" t="n">
        <x:f>O125-P125</x:f>
        <x:v>109.05000000000001</x:v>
      </x:c>
      <x:c r="R125" s="490" t="n">
        <x:f>IF(O125=0,0,Q125/O125)</x:f>
        <x:v>0.48029068487117377</x:v>
      </x:c>
      <x:c r="S125" s="488" t="str">
        <x:f>IF(J125=1,"退款",IF(I125&gt;=0.2,"高折扣","正常"))</x:f>
        <x:v>正常</x:v>
      </x:c>
    </x:row>
    <x:row r="126">
      <x:c r="A126" s="486" t="n">
        <x:f>'原始订单'!A126</x:f>
        <x:v>46196</x:v>
      </x:c>
      <x:c r="B126" s="487" t="n">
        <x:f>DATE(YEAR(A126),MONTH(A126),1)</x:f>
        <x:v>46174</x:v>
      </x:c>
      <x:c r="C126" s="488" t="str">
        <x:f>'原始订单'!B126</x:f>
        <x:v>D20260122</x:v>
      </x:c>
      <x:c r="D126" s="488" t="str">
        <x:f>'原始订单'!C126</x:f>
        <x:v>C1071</x:v>
      </x:c>
      <x:c r="E126" s="488" t="str">
        <x:f>'原始订单'!D126</x:f>
        <x:v>自然搜索</x:v>
      </x:c>
      <x:c r="F126" s="488" t="str">
        <x:f>'原始订单'!E126</x:f>
        <x:v>桌面收纳架</x:v>
      </x:c>
      <x:c r="G126" s="489" t="n">
        <x:f>'原始订单'!F126</x:f>
        <x:v>2</x:v>
      </x:c>
      <x:c r="H126" s="489" t="n">
        <x:f>'原始订单'!G126</x:f>
        <x:v>89</x:v>
      </x:c>
      <x:c r="I126" s="490" t="n">
        <x:f>'原始订单'!H126</x:f>
        <x:v>0</x:v>
      </x:c>
      <x:c r="J126" s="491" t="n">
        <x:f>'原始订单'!I126</x:f>
        <x:v>0</x:v>
      </x:c>
      <x:c r="K126" s="492" t="n">
        <x:f>'原始订单'!J126</x:f>
        <x:v>32</x:v>
      </x:c>
      <x:c r="L126" s="492" t="n">
        <x:f>G126*H126</x:f>
        <x:v>178</x:v>
      </x:c>
      <x:c r="M126" s="492" t="n">
        <x:f>L126*I126</x:f>
        <x:v>0</x:v>
      </x:c>
      <x:c r="N126" s="492" t="n">
        <x:f>(L126-M126)*J126</x:f>
        <x:v>0</x:v>
      </x:c>
      <x:c r="O126" s="492" t="n">
        <x:f>L126-M126-N126</x:f>
        <x:v>178</x:v>
      </x:c>
      <x:c r="P126" s="492" t="n">
        <x:f>G126*K126*(1-J126)</x:f>
        <x:v>64</x:v>
      </x:c>
      <x:c r="Q126" s="492" t="n">
        <x:f>O126-P126</x:f>
        <x:v>114</x:v>
      </x:c>
      <x:c r="R126" s="490" t="n">
        <x:f>IF(O126=0,0,Q126/O126)</x:f>
        <x:v>0.6404494382022472</x:v>
      </x:c>
      <x:c r="S126" s="488" t="str">
        <x:f>IF(J126=1,"退款",IF(I126&gt;=0.2,"高折扣","正常"))</x:f>
        <x:v>正常</x:v>
      </x:c>
    </x:row>
    <x:row r="127">
      <x:c r="A127" s="486" t="n">
        <x:f>'原始订单'!A127</x:f>
        <x:v>46197</x:v>
      </x:c>
      <x:c r="B127" s="487" t="n">
        <x:f>DATE(YEAR(A127),MONTH(A127),1)</x:f>
        <x:v>46174</x:v>
      </x:c>
      <x:c r="C127" s="488" t="str">
        <x:f>'原始订单'!B127</x:f>
        <x:v>D20260123</x:v>
      </x:c>
      <x:c r="D127" s="488" t="str">
        <x:f>'原始订单'!C127</x:f>
        <x:v>C1062</x:v>
      </x:c>
      <x:c r="E127" s="488" t="str">
        <x:f>'原始订单'!D127</x:f>
        <x:v>抖音广告</x:v>
      </x:c>
      <x:c r="F127" s="488" t="str">
        <x:f>'原始订单'!E127</x:f>
        <x:v>轻量旅行杯</x:v>
      </x:c>
      <x:c r="G127" s="489" t="n">
        <x:f>'原始订单'!F127</x:f>
        <x:v>1</x:v>
      </x:c>
      <x:c r="H127" s="489" t="n">
        <x:f>'原始订单'!G127</x:f>
        <x:v>129</x:v>
      </x:c>
      <x:c r="I127" s="490" t="n">
        <x:f>'原始订单'!H127</x:f>
        <x:v>0.05</x:v>
      </x:c>
      <x:c r="J127" s="491" t="n">
        <x:f>'原始订单'!I127</x:f>
        <x:v>0</x:v>
      </x:c>
      <x:c r="K127" s="492" t="n">
        <x:f>'原始订单'!J127</x:f>
        <x:v>48</x:v>
      </x:c>
      <x:c r="L127" s="492" t="n">
        <x:f>G127*H127</x:f>
        <x:v>129</x:v>
      </x:c>
      <x:c r="M127" s="492" t="n">
        <x:f>L127*I127</x:f>
        <x:v>6.45</x:v>
      </x:c>
      <x:c r="N127" s="492" t="n">
        <x:f>(L127-M127)*J127</x:f>
        <x:v>0</x:v>
      </x:c>
      <x:c r="O127" s="492" t="n">
        <x:f>L127-M127-N127</x:f>
        <x:v>122.55</x:v>
      </x:c>
      <x:c r="P127" s="492" t="n">
        <x:f>G127*K127*(1-J127)</x:f>
        <x:v>48</x:v>
      </x:c>
      <x:c r="Q127" s="492" t="n">
        <x:f>O127-P127</x:f>
        <x:v>74.55</x:v>
      </x:c>
      <x:c r="R127" s="490" t="n">
        <x:f>IF(O127=0,0,Q127/O127)</x:f>
        <x:v>0.6083231334149327</x:v>
      </x:c>
      <x:c r="S127" s="488" t="str">
        <x:f>IF(J127=1,"退款",IF(I127&gt;=0.2,"高折扣","正常"))</x:f>
        <x:v>正常</x:v>
      </x:c>
    </x:row>
    <x:row r="128">
      <x:c r="A128" s="486" t="n">
        <x:f>'原始订单'!A128</x:f>
        <x:v>46197</x:v>
      </x:c>
      <x:c r="B128" s="487" t="n">
        <x:f>DATE(YEAR(A128),MONTH(A128),1)</x:f>
        <x:v>46174</x:v>
      </x:c>
      <x:c r="C128" s="488" t="str">
        <x:f>'原始订单'!B128</x:f>
        <x:v>D20260124</x:v>
      </x:c>
      <x:c r="D128" s="488" t="str">
        <x:f>'原始订单'!C128</x:f>
        <x:v>C1007</x:v>
      </x:c>
      <x:c r="E128" s="488" t="str">
        <x:f>'原始订单'!D128</x:f>
        <x:v>自然搜索</x:v>
      </x:c>
      <x:c r="F128" s="488" t="str">
        <x:f>'原始订单'!E128</x:f>
        <x:v>桌面收纳架</x:v>
      </x:c>
      <x:c r="G128" s="489" t="n">
        <x:f>'原始订单'!F128</x:f>
        <x:v>1</x:v>
      </x:c>
      <x:c r="H128" s="489" t="n">
        <x:f>'原始订单'!G128</x:f>
        <x:v>89</x:v>
      </x:c>
      <x:c r="I128" s="490" t="n">
        <x:f>'原始订单'!H128</x:f>
        <x:v>0</x:v>
      </x:c>
      <x:c r="J128" s="491" t="n">
        <x:f>'原始订单'!I128</x:f>
        <x:v>0</x:v>
      </x:c>
      <x:c r="K128" s="492" t="n">
        <x:f>'原始订单'!J128</x:f>
        <x:v>32</x:v>
      </x:c>
      <x:c r="L128" s="492" t="n">
        <x:f>G128*H128</x:f>
        <x:v>89</x:v>
      </x:c>
      <x:c r="M128" s="492" t="n">
        <x:f>L128*I128</x:f>
        <x:v>0</x:v>
      </x:c>
      <x:c r="N128" s="492" t="n">
        <x:f>(L128-M128)*J128</x:f>
        <x:v>0</x:v>
      </x:c>
      <x:c r="O128" s="492" t="n">
        <x:f>L128-M128-N128</x:f>
        <x:v>89</x:v>
      </x:c>
      <x:c r="P128" s="492" t="n">
        <x:f>G128*K128*(1-J128)</x:f>
        <x:v>32</x:v>
      </x:c>
      <x:c r="Q128" s="492" t="n">
        <x:f>O128-P128</x:f>
        <x:v>57</x:v>
      </x:c>
      <x:c r="R128" s="490" t="n">
        <x:f>IF(O128=0,0,Q128/O128)</x:f>
        <x:v>0.6404494382022472</x:v>
      </x:c>
      <x:c r="S128" s="488" t="str">
        <x:f>IF(J128=1,"退款",IF(I128&gt;=0.2,"高折扣","正常"))</x:f>
        <x:v>正常</x:v>
      </x:c>
    </x:row>
    <x:row r="129">
      <x:c r="A129" s="486" t="n">
        <x:f>'原始订单'!A129</x:f>
        <x:v>46197</x:v>
      </x:c>
      <x:c r="B129" s="487" t="n">
        <x:f>DATE(YEAR(A129),MONTH(A129),1)</x:f>
        <x:v>46174</x:v>
      </x:c>
      <x:c r="C129" s="488" t="str">
        <x:f>'原始订单'!B129</x:f>
        <x:v>D20260125</x:v>
      </x:c>
      <x:c r="D129" s="488" t="str">
        <x:f>'原始订单'!C129</x:f>
        <x:v>C1017</x:v>
      </x:c>
      <x:c r="E129" s="488" t="str">
        <x:f>'原始订单'!D129</x:f>
        <x:v>自然搜索</x:v>
      </x:c>
      <x:c r="F129" s="488" t="str">
        <x:f>'原始订单'!E129</x:f>
        <x:v>轻量旅行杯</x:v>
      </x:c>
      <x:c r="G129" s="489" t="n">
        <x:f>'原始订单'!F129</x:f>
        <x:v>1</x:v>
      </x:c>
      <x:c r="H129" s="489" t="n">
        <x:f>'原始订单'!G129</x:f>
        <x:v>129</x:v>
      </x:c>
      <x:c r="I129" s="490" t="n">
        <x:f>'原始订单'!H129</x:f>
        <x:v>0.1</x:v>
      </x:c>
      <x:c r="J129" s="491" t="n">
        <x:f>'原始订单'!I129</x:f>
        <x:v>0</x:v>
      </x:c>
      <x:c r="K129" s="492" t="n">
        <x:f>'原始订单'!J129</x:f>
        <x:v>48</x:v>
      </x:c>
      <x:c r="L129" s="492" t="n">
        <x:f>G129*H129</x:f>
        <x:v>129</x:v>
      </x:c>
      <x:c r="M129" s="492" t="n">
        <x:f>L129*I129</x:f>
        <x:v>12.9</x:v>
      </x:c>
      <x:c r="N129" s="492" t="n">
        <x:f>(L129-M129)*J129</x:f>
        <x:v>0</x:v>
      </x:c>
      <x:c r="O129" s="492" t="n">
        <x:f>L129-M129-N129</x:f>
        <x:v>116.1</x:v>
      </x:c>
      <x:c r="P129" s="492" t="n">
        <x:f>G129*K129*(1-J129)</x:f>
        <x:v>48</x:v>
      </x:c>
      <x:c r="Q129" s="492" t="n">
        <x:f>O129-P129</x:f>
        <x:v>68.1</x:v>
      </x:c>
      <x:c r="R129" s="490" t="n">
        <x:f>IF(O129=0,0,Q129/O129)</x:f>
        <x:v>0.58656330749354</x:v>
      </x:c>
      <x:c r="S129" s="488" t="str">
        <x:f>IF(J129=1,"退款",IF(I129&gt;=0.2,"高折扣","正常"))</x:f>
        <x:v>正常</x:v>
      </x:c>
    </x:row>
    <x:row r="130">
      <x:c r="A130" s="486" t="n">
        <x:f>'原始订单'!A130</x:f>
        <x:v>46197</x:v>
      </x:c>
      <x:c r="B130" s="487" t="n">
        <x:f>DATE(YEAR(A130),MONTH(A130),1)</x:f>
        <x:v>46174</x:v>
      </x:c>
      <x:c r="C130" s="488" t="str">
        <x:f>'原始订单'!B130</x:f>
        <x:v>D20260126</x:v>
      </x:c>
      <x:c r="D130" s="488" t="str">
        <x:f>'原始订单'!C130</x:f>
        <x:v>C1135</x:v>
      </x:c>
      <x:c r="E130" s="488" t="str">
        <x:f>'原始订单'!D130</x:f>
        <x:v>小红书</x:v>
      </x:c>
      <x:c r="F130" s="488" t="str">
        <x:f>'原始订单'!E130</x:f>
        <x:v>轻量旅行杯</x:v>
      </x:c>
      <x:c r="G130" s="489" t="n">
        <x:f>'原始订单'!F130</x:f>
        <x:v>2</x:v>
      </x:c>
      <x:c r="H130" s="489" t="n">
        <x:f>'原始订单'!G130</x:f>
        <x:v>129</x:v>
      </x:c>
      <x:c r="I130" s="490" t="n">
        <x:f>'原始订单'!H130</x:f>
        <x:v>0</x:v>
      </x:c>
      <x:c r="J130" s="491" t="n">
        <x:f>'原始订单'!I130</x:f>
        <x:v>0</x:v>
      </x:c>
      <x:c r="K130" s="492" t="n">
        <x:f>'原始订单'!J130</x:f>
        <x:v>48</x:v>
      </x:c>
      <x:c r="L130" s="492" t="n">
        <x:f>G130*H130</x:f>
        <x:v>258</x:v>
      </x:c>
      <x:c r="M130" s="492" t="n">
        <x:f>L130*I130</x:f>
        <x:v>0</x:v>
      </x:c>
      <x:c r="N130" s="492" t="n">
        <x:f>(L130-M130)*J130</x:f>
        <x:v>0</x:v>
      </x:c>
      <x:c r="O130" s="492" t="n">
        <x:f>L130-M130-N130</x:f>
        <x:v>258</x:v>
      </x:c>
      <x:c r="P130" s="492" t="n">
        <x:f>G130*K130*(1-J130)</x:f>
        <x:v>96</x:v>
      </x:c>
      <x:c r="Q130" s="492" t="n">
        <x:f>O130-P130</x:f>
        <x:v>162</x:v>
      </x:c>
      <x:c r="R130" s="490" t="n">
        <x:f>IF(O130=0,0,Q130/O130)</x:f>
        <x:v>0.627906976744186</x:v>
      </x:c>
      <x:c r="S130" s="488" t="str">
        <x:f>IF(J130=1,"退款",IF(I130&gt;=0.2,"高折扣","正常"))</x:f>
        <x:v>正常</x:v>
      </x:c>
    </x:row>
    <x:row r="131">
      <x:c r="A131" s="486" t="n">
        <x:f>'原始订单'!A131</x:f>
        <x:v>46198</x:v>
      </x:c>
      <x:c r="B131" s="487" t="n">
        <x:f>DATE(YEAR(A131),MONTH(A131),1)</x:f>
        <x:v>46174</x:v>
      </x:c>
      <x:c r="C131" s="488" t="str">
        <x:f>'原始订单'!B131</x:f>
        <x:v>D20260127</x:v>
      </x:c>
      <x:c r="D131" s="488" t="str">
        <x:f>'原始订单'!C131</x:f>
        <x:v>C1108</x:v>
      </x:c>
      <x:c r="E131" s="488" t="str">
        <x:f>'原始订单'!D131</x:f>
        <x:v>小红书</x:v>
      </x:c>
      <x:c r="F131" s="488" t="str">
        <x:f>'原始订单'!E131</x:f>
        <x:v>轻量旅行杯</x:v>
      </x:c>
      <x:c r="G131" s="489" t="n">
        <x:f>'原始订单'!F131</x:f>
        <x:v>1</x:v>
      </x:c>
      <x:c r="H131" s="489" t="n">
        <x:f>'原始订单'!G131</x:f>
        <x:v>129</x:v>
      </x:c>
      <x:c r="I131" s="490" t="n">
        <x:f>'原始订单'!H131</x:f>
        <x:v>0.1</x:v>
      </x:c>
      <x:c r="J131" s="491" t="n">
        <x:f>'原始订单'!I131</x:f>
        <x:v>0</x:v>
      </x:c>
      <x:c r="K131" s="492" t="n">
        <x:f>'原始订单'!J131</x:f>
        <x:v>48</x:v>
      </x:c>
      <x:c r="L131" s="492" t="n">
        <x:f>G131*H131</x:f>
        <x:v>129</x:v>
      </x:c>
      <x:c r="M131" s="492" t="n">
        <x:f>L131*I131</x:f>
        <x:v>12.9</x:v>
      </x:c>
      <x:c r="N131" s="492" t="n">
        <x:f>(L131-M131)*J131</x:f>
        <x:v>0</x:v>
      </x:c>
      <x:c r="O131" s="492" t="n">
        <x:f>L131-M131-N131</x:f>
        <x:v>116.1</x:v>
      </x:c>
      <x:c r="P131" s="492" t="n">
        <x:f>G131*K131*(1-J131)</x:f>
        <x:v>48</x:v>
      </x:c>
      <x:c r="Q131" s="492" t="n">
        <x:f>O131-P131</x:f>
        <x:v>68.1</x:v>
      </x:c>
      <x:c r="R131" s="490" t="n">
        <x:f>IF(O131=0,0,Q131/O131)</x:f>
        <x:v>0.58656330749354</x:v>
      </x:c>
      <x:c r="S131" s="488" t="str">
        <x:f>IF(J131=1,"退款",IF(I131&gt;=0.2,"高折扣","正常"))</x:f>
        <x:v>正常</x:v>
      </x:c>
    </x:row>
    <x:row r="132">
      <x:c r="A132" s="486" t="n">
        <x:f>'原始订单'!A132</x:f>
        <x:v>46199</x:v>
      </x:c>
      <x:c r="B132" s="487" t="n">
        <x:f>DATE(YEAR(A132),MONTH(A132),1)</x:f>
        <x:v>46174</x:v>
      </x:c>
      <x:c r="C132" s="488" t="str">
        <x:f>'原始订单'!B132</x:f>
        <x:v>D20260128</x:v>
      </x:c>
      <x:c r="D132" s="488" t="str">
        <x:f>'原始订单'!C132</x:f>
        <x:v>C1110</x:v>
      </x:c>
      <x:c r="E132" s="488" t="str">
        <x:f>'原始订单'!D132</x:f>
        <x:v>自然搜索</x:v>
      </x:c>
      <x:c r="F132" s="488" t="str">
        <x:f>'原始订单'!E132</x:f>
        <x:v>桌面收纳架</x:v>
      </x:c>
      <x:c r="G132" s="489" t="n">
        <x:f>'原始订单'!F132</x:f>
        <x:v>1</x:v>
      </x:c>
      <x:c r="H132" s="489" t="n">
        <x:f>'原始订单'!G132</x:f>
        <x:v>89</x:v>
      </x:c>
      <x:c r="I132" s="490" t="n">
        <x:f>'原始订单'!H132</x:f>
        <x:v>0.05</x:v>
      </x:c>
      <x:c r="J132" s="491" t="n">
        <x:f>'原始订单'!I132</x:f>
        <x:v>0</x:v>
      </x:c>
      <x:c r="K132" s="492" t="n">
        <x:f>'原始订单'!J132</x:f>
        <x:v>32</x:v>
      </x:c>
      <x:c r="L132" s="492" t="n">
        <x:f>G132*H132</x:f>
        <x:v>89</x:v>
      </x:c>
      <x:c r="M132" s="492" t="n">
        <x:f>L132*I132</x:f>
        <x:v>4.45</x:v>
      </x:c>
      <x:c r="N132" s="492" t="n">
        <x:f>(L132-M132)*J132</x:f>
        <x:v>0</x:v>
      </x:c>
      <x:c r="O132" s="492" t="n">
        <x:f>L132-M132-N132</x:f>
        <x:v>84.55</x:v>
      </x:c>
      <x:c r="P132" s="492" t="n">
        <x:f>G132*K132*(1-J132)</x:f>
        <x:v>32</x:v>
      </x:c>
      <x:c r="Q132" s="492" t="n">
        <x:f>O132-P132</x:f>
        <x:v>52.55</x:v>
      </x:c>
      <x:c r="R132" s="490" t="n">
        <x:f>IF(O132=0,0,Q132/O132)</x:f>
        <x:v>0.6215257244234181</x:v>
      </x:c>
      <x:c r="S132" s="488" t="str">
        <x:f>IF(J132=1,"退款",IF(I132&gt;=0.2,"高折扣","正常"))</x:f>
        <x:v>正常</x:v>
      </x:c>
    </x:row>
    <x:row r="133">
      <x:c r="A133" s="486" t="n">
        <x:f>'原始订单'!A133</x:f>
        <x:v>46199</x:v>
      </x:c>
      <x:c r="B133" s="487" t="n">
        <x:f>DATE(YEAR(A133),MONTH(A133),1)</x:f>
        <x:v>46174</x:v>
      </x:c>
      <x:c r="C133" s="488" t="str">
        <x:f>'原始订单'!B133</x:f>
        <x:v>D20260129</x:v>
      </x:c>
      <x:c r="D133" s="488" t="str">
        <x:f>'原始订单'!C133</x:f>
        <x:v>C1078</x:v>
      </x:c>
      <x:c r="E133" s="488" t="str">
        <x:f>'原始订单'!D133</x:f>
        <x:v>自然搜索</x:v>
      </x:c>
      <x:c r="F133" s="488" t="str">
        <x:f>'原始订单'!E133</x:f>
        <x:v>桌面收纳架</x:v>
      </x:c>
      <x:c r="G133" s="489" t="n">
        <x:f>'原始订单'!F133</x:f>
        <x:v>1</x:v>
      </x:c>
      <x:c r="H133" s="489" t="n">
        <x:f>'原始订单'!G133</x:f>
        <x:v>89</x:v>
      </x:c>
      <x:c r="I133" s="490" t="n">
        <x:f>'原始订单'!H133</x:f>
        <x:v>0.1</x:v>
      </x:c>
      <x:c r="J133" s="491" t="n">
        <x:f>'原始订单'!I133</x:f>
        <x:v>0</x:v>
      </x:c>
      <x:c r="K133" s="492" t="n">
        <x:f>'原始订单'!J133</x:f>
        <x:v>32</x:v>
      </x:c>
      <x:c r="L133" s="492" t="n">
        <x:f>G133*H133</x:f>
        <x:v>89</x:v>
      </x:c>
      <x:c r="M133" s="492" t="n">
        <x:f>L133*I133</x:f>
        <x:v>8.9</x:v>
      </x:c>
      <x:c r="N133" s="492" t="n">
        <x:f>(L133-M133)*J133</x:f>
        <x:v>0</x:v>
      </x:c>
      <x:c r="O133" s="492" t="n">
        <x:f>L133-M133-N133</x:f>
        <x:v>80.1</x:v>
      </x:c>
      <x:c r="P133" s="492" t="n">
        <x:f>G133*K133*(1-J133)</x:f>
        <x:v>32</x:v>
      </x:c>
      <x:c r="Q133" s="492" t="n">
        <x:f>O133-P133</x:f>
        <x:v>48.099999999999994</x:v>
      </x:c>
      <x:c r="R133" s="490" t="n">
        <x:f>IF(O133=0,0,Q133/O133)</x:f>
        <x:v>0.6004993757802747</x:v>
      </x:c>
      <x:c r="S133" s="488" t="str">
        <x:f>IF(J133=1,"退款",IF(I133&gt;=0.2,"高折扣","正常"))</x:f>
        <x:v>正常</x:v>
      </x:c>
    </x:row>
    <x:row r="134">
      <x:c r="A134" s="486" t="n">
        <x:f>'原始订单'!A134</x:f>
        <x:v>46201</x:v>
      </x:c>
      <x:c r="B134" s="487" t="n">
        <x:f>DATE(YEAR(A134),MONTH(A134),1)</x:f>
        <x:v>46174</x:v>
      </x:c>
      <x:c r="C134" s="488" t="str">
        <x:f>'原始订单'!B134</x:f>
        <x:v>D20260130</x:v>
      </x:c>
      <x:c r="D134" s="488" t="str">
        <x:f>'原始订单'!C134</x:f>
        <x:v>C1021</x:v>
      </x:c>
      <x:c r="E134" s="488" t="str">
        <x:f>'原始订单'!D134</x:f>
        <x:v>抖音广告</x:v>
      </x:c>
      <x:c r="F134" s="488" t="str">
        <x:f>'原始订单'!E134</x:f>
        <x:v>轻量旅行杯</x:v>
      </x:c>
      <x:c r="G134" s="489" t="n">
        <x:f>'原始订单'!F134</x:f>
        <x:v>1</x:v>
      </x:c>
      <x:c r="H134" s="489" t="n">
        <x:f>'原始订单'!G134</x:f>
        <x:v>129</x:v>
      </x:c>
      <x:c r="I134" s="490" t="n">
        <x:f>'原始订单'!H134</x:f>
        <x:v>0.05</x:v>
      </x:c>
      <x:c r="J134" s="491" t="n">
        <x:f>'原始订单'!I134</x:f>
        <x:v>0</x:v>
      </x:c>
      <x:c r="K134" s="492" t="n">
        <x:f>'原始订单'!J134</x:f>
        <x:v>48</x:v>
      </x:c>
      <x:c r="L134" s="492" t="n">
        <x:f>G134*H134</x:f>
        <x:v>129</x:v>
      </x:c>
      <x:c r="M134" s="492" t="n">
        <x:f>L134*I134</x:f>
        <x:v>6.45</x:v>
      </x:c>
      <x:c r="N134" s="492" t="n">
        <x:f>(L134-M134)*J134</x:f>
        <x:v>0</x:v>
      </x:c>
      <x:c r="O134" s="492" t="n">
        <x:f>L134-M134-N134</x:f>
        <x:v>122.55</x:v>
      </x:c>
      <x:c r="P134" s="492" t="n">
        <x:f>G134*K134*(1-J134)</x:f>
        <x:v>48</x:v>
      </x:c>
      <x:c r="Q134" s="492" t="n">
        <x:f>O134-P134</x:f>
        <x:v>74.55</x:v>
      </x:c>
      <x:c r="R134" s="490" t="n">
        <x:f>IF(O134=0,0,Q134/O134)</x:f>
        <x:v>0.6083231334149327</x:v>
      </x:c>
      <x:c r="S134" s="488" t="str">
        <x:f>IF(J134=1,"退款",IF(I134&gt;=0.2,"高折扣","正常"))</x:f>
        <x:v>正常</x:v>
      </x:c>
    </x:row>
    <x:row r="135">
      <x:c r="A135" s="486" t="n">
        <x:f>'原始订单'!A135</x:f>
        <x:v>46202</x:v>
      </x:c>
      <x:c r="B135" s="487" t="n">
        <x:f>DATE(YEAR(A135),MONTH(A135),1)</x:f>
        <x:v>46174</x:v>
      </x:c>
      <x:c r="C135" s="488" t="str">
        <x:f>'原始订单'!B135</x:f>
        <x:v>D20260131</x:v>
      </x:c>
      <x:c r="D135" s="488" t="str">
        <x:f>'原始订单'!C135</x:f>
        <x:v>C1029</x:v>
      </x:c>
      <x:c r="E135" s="488" t="str">
        <x:f>'原始订单'!D135</x:f>
        <x:v>抖音广告</x:v>
      </x:c>
      <x:c r="F135" s="488" t="str">
        <x:f>'原始订单'!E135</x:f>
        <x:v>桌面收纳架</x:v>
      </x:c>
      <x:c r="G135" s="489" t="n">
        <x:f>'原始订单'!F135</x:f>
        <x:v>1</x:v>
      </x:c>
      <x:c r="H135" s="489" t="n">
        <x:f>'原始订单'!G135</x:f>
        <x:v>89</x:v>
      </x:c>
      <x:c r="I135" s="490" t="n">
        <x:f>'原始订单'!H135</x:f>
        <x:v>0.1</x:v>
      </x:c>
      <x:c r="J135" s="491" t="n">
        <x:f>'原始订单'!I135</x:f>
        <x:v>0</x:v>
      </x:c>
      <x:c r="K135" s="492" t="n">
        <x:f>'原始订单'!J135</x:f>
        <x:v>32</x:v>
      </x:c>
      <x:c r="L135" s="492" t="n">
        <x:f>G135*H135</x:f>
        <x:v>89</x:v>
      </x:c>
      <x:c r="M135" s="492" t="n">
        <x:f>L135*I135</x:f>
        <x:v>8.9</x:v>
      </x:c>
      <x:c r="N135" s="492" t="n">
        <x:f>(L135-M135)*J135</x:f>
        <x:v>0</x:v>
      </x:c>
      <x:c r="O135" s="492" t="n">
        <x:f>L135-M135-N135</x:f>
        <x:v>80.1</x:v>
      </x:c>
      <x:c r="P135" s="492" t="n">
        <x:f>G135*K135*(1-J135)</x:f>
        <x:v>32</x:v>
      </x:c>
      <x:c r="Q135" s="492" t="n">
        <x:f>O135-P135</x:f>
        <x:v>48.099999999999994</x:v>
      </x:c>
      <x:c r="R135" s="490" t="n">
        <x:f>IF(O135=0,0,Q135/O135)</x:f>
        <x:v>0.6004993757802747</x:v>
      </x:c>
      <x:c r="S135" s="488" t="str">
        <x:f>IF(J135=1,"退款",IF(I135&gt;=0.2,"高折扣","正常"))</x:f>
        <x:v>正常</x:v>
      </x:c>
    </x:row>
    <x:row r="136">
      <x:c r="A136" s="486" t="n">
        <x:f>'原始订单'!A136</x:f>
        <x:v>46202</x:v>
      </x:c>
      <x:c r="B136" s="487" t="n">
        <x:f>DATE(YEAR(A136),MONTH(A136),1)</x:f>
        <x:v>46174</x:v>
      </x:c>
      <x:c r="C136" s="488" t="str">
        <x:f>'原始订单'!B136</x:f>
        <x:v>D20260132</x:v>
      </x:c>
      <x:c r="D136" s="488" t="str">
        <x:f>'原始订单'!C136</x:f>
        <x:v>C1092</x:v>
      </x:c>
      <x:c r="E136" s="488" t="str">
        <x:f>'原始订单'!D136</x:f>
        <x:v>自然搜索</x:v>
      </x:c>
      <x:c r="F136" s="488" t="str">
        <x:f>'原始订单'!E136</x:f>
        <x:v>桌面收纳架</x:v>
      </x:c>
      <x:c r="G136" s="489" t="n">
        <x:f>'原始订单'!F136</x:f>
        <x:v>1</x:v>
      </x:c>
      <x:c r="H136" s="489" t="n">
        <x:f>'原始订单'!G136</x:f>
        <x:v>89</x:v>
      </x:c>
      <x:c r="I136" s="490" t="n">
        <x:f>'原始订单'!H136</x:f>
        <x:v>0.1</x:v>
      </x:c>
      <x:c r="J136" s="491" t="n">
        <x:f>'原始订单'!I136</x:f>
        <x:v>0</x:v>
      </x:c>
      <x:c r="K136" s="492" t="n">
        <x:f>'原始订单'!J136</x:f>
        <x:v>32</x:v>
      </x:c>
      <x:c r="L136" s="492" t="n">
        <x:f>G136*H136</x:f>
        <x:v>89</x:v>
      </x:c>
      <x:c r="M136" s="492" t="n">
        <x:f>L136*I136</x:f>
        <x:v>8.9</x:v>
      </x:c>
      <x:c r="N136" s="492" t="n">
        <x:f>(L136-M136)*J136</x:f>
        <x:v>0</x:v>
      </x:c>
      <x:c r="O136" s="492" t="n">
        <x:f>L136-M136-N136</x:f>
        <x:v>80.1</x:v>
      </x:c>
      <x:c r="P136" s="492" t="n">
        <x:f>G136*K136*(1-J136)</x:f>
        <x:v>32</x:v>
      </x:c>
      <x:c r="Q136" s="492" t="n">
        <x:f>O136-P136</x:f>
        <x:v>48.099999999999994</x:v>
      </x:c>
      <x:c r="R136" s="490" t="n">
        <x:f>IF(O136=0,0,Q136/O136)</x:f>
        <x:v>0.6004993757802747</x:v>
      </x:c>
      <x:c r="S136" s="488" t="str">
        <x:f>IF(J136=1,"退款",IF(I136&gt;=0.2,"高折扣","正常"))</x:f>
        <x:v>正常</x:v>
      </x:c>
    </x:row>
    <x:row r="137">
      <x:c r="A137" s="486" t="n">
        <x:f>'原始订单'!A137</x:f>
        <x:v>46203</x:v>
      </x:c>
      <x:c r="B137" s="487" t="n">
        <x:f>DATE(YEAR(A137),MONTH(A137),1)</x:f>
        <x:v>46174</x:v>
      </x:c>
      <x:c r="C137" s="488" t="str">
        <x:f>'原始订单'!B137</x:f>
        <x:v>D20260133</x:v>
      </x:c>
      <x:c r="D137" s="488" t="str">
        <x:f>'原始订单'!C137</x:f>
        <x:v>C1031</x:v>
      </x:c>
      <x:c r="E137" s="488" t="str">
        <x:f>'原始订单'!D137</x:f>
        <x:v>老客复购</x:v>
      </x:c>
      <x:c r="F137" s="488" t="str">
        <x:f>'原始订单'!E137</x:f>
        <x:v>无线标签机</x:v>
      </x:c>
      <x:c r="G137" s="489" t="n">
        <x:f>'原始订单'!F137</x:f>
        <x:v>1</x:v>
      </x:c>
      <x:c r="H137" s="489" t="n">
        <x:f>'原始订单'!G137</x:f>
        <x:v>239</x:v>
      </x:c>
      <x:c r="I137" s="490" t="n">
        <x:f>'原始订单'!H137</x:f>
        <x:v>0.1</x:v>
      </x:c>
      <x:c r="J137" s="491" t="n">
        <x:f>'原始订单'!I137</x:f>
        <x:v>0</x:v>
      </x:c>
      <x:c r="K137" s="492" t="n">
        <x:f>'原始订单'!J137</x:f>
        <x:v>118</x:v>
      </x:c>
      <x:c r="L137" s="492" t="n">
        <x:f>G137*H137</x:f>
        <x:v>239</x:v>
      </x:c>
      <x:c r="M137" s="492" t="n">
        <x:f>L137*I137</x:f>
        <x:v>23.900000000000002</x:v>
      </x:c>
      <x:c r="N137" s="492" t="n">
        <x:f>(L137-M137)*J137</x:f>
        <x:v>0</x:v>
      </x:c>
      <x:c r="O137" s="492" t="n">
        <x:f>L137-M137-N137</x:f>
        <x:v>215.1</x:v>
      </x:c>
      <x:c r="P137" s="492" t="n">
        <x:f>G137*K137*(1-J137)</x:f>
        <x:v>118</x:v>
      </x:c>
      <x:c r="Q137" s="492" t="n">
        <x:f>O137-P137</x:f>
        <x:v>97.1</x:v>
      </x:c>
      <x:c r="R137" s="490" t="n">
        <x:f>IF(O137=0,0,Q137/O137)</x:f>
        <x:v>0.4514179451417945</x:v>
      </x:c>
      <x:c r="S137" s="488" t="str">
        <x:f>IF(J137=1,"退款",IF(I137&gt;=0.2,"高折扣","正常"))</x:f>
        <x:v>正常</x:v>
      </x:c>
    </x:row>
    <x:row r="138">
      <x:c r="A138" s="486" t="n">
        <x:f>'原始订单'!A138</x:f>
        <x:v>46203</x:v>
      </x:c>
      <x:c r="B138" s="487" t="n">
        <x:f>DATE(YEAR(A138),MONTH(A138),1)</x:f>
        <x:v>46174</x:v>
      </x:c>
      <x:c r="C138" s="488" t="str">
        <x:f>'原始订单'!B138</x:f>
        <x:v>D20260134</x:v>
      </x:c>
      <x:c r="D138" s="488" t="str">
        <x:f>'原始订单'!C138</x:f>
        <x:v>C1017</x:v>
      </x:c>
      <x:c r="E138" s="488" t="str">
        <x:f>'原始订单'!D138</x:f>
        <x:v>抖音广告</x:v>
      </x:c>
      <x:c r="F138" s="488" t="str">
        <x:f>'原始订单'!E138</x:f>
        <x:v>桌面收纳架</x:v>
      </x:c>
      <x:c r="G138" s="489" t="n">
        <x:f>'原始订单'!F138</x:f>
        <x:v>1</x:v>
      </x:c>
      <x:c r="H138" s="489" t="n">
        <x:f>'原始订单'!G138</x:f>
        <x:v>89</x:v>
      </x:c>
      <x:c r="I138" s="490" t="n">
        <x:f>'原始订单'!H138</x:f>
        <x:v>0.05</x:v>
      </x:c>
      <x:c r="J138" s="491" t="n">
        <x:f>'原始订单'!I138</x:f>
        <x:v>1</x:v>
      </x:c>
      <x:c r="K138" s="492" t="n">
        <x:f>'原始订单'!J138</x:f>
        <x:v>32</x:v>
      </x:c>
      <x:c r="L138" s="492" t="n">
        <x:f>G138*H138</x:f>
        <x:v>89</x:v>
      </x:c>
      <x:c r="M138" s="492" t="n">
        <x:f>L138*I138</x:f>
        <x:v>4.45</x:v>
      </x:c>
      <x:c r="N138" s="492" t="n">
        <x:f>(L138-M138)*J138</x:f>
        <x:v>84.55</x:v>
      </x:c>
      <x:c r="O138" s="492" t="n">
        <x:f>L138-M138-N138</x:f>
        <x:v>0</x:v>
      </x:c>
      <x:c r="P138" s="492" t="n">
        <x:f>G138*K138*(1-J138)</x:f>
        <x:v>0</x:v>
      </x:c>
      <x:c r="Q138" s="492" t="n">
        <x:f>O138-P138</x:f>
        <x:v>0</x:v>
      </x:c>
      <x:c r="R138" s="490" t="n">
        <x:f>IF(O138=0,0,Q138/O138)</x:f>
        <x:v>0</x:v>
      </x:c>
      <x:c r="S138" s="488" t="str">
        <x:f>IF(J138=1,"退款",IF(I138&gt;=0.2,"高折扣","正常"))</x:f>
        <x:v>退款</x:v>
      </x:c>
    </x:row>
    <x:row r="139">
      <x:c r="A139" s="486" t="n">
        <x:f>'原始订单'!A139</x:f>
        <x:v>46203</x:v>
      </x:c>
      <x:c r="B139" s="487" t="n">
        <x:f>DATE(YEAR(A139),MONTH(A139),1)</x:f>
        <x:v>46174</x:v>
      </x:c>
      <x:c r="C139" s="488" t="str">
        <x:f>'原始订单'!B139</x:f>
        <x:v>D20260135</x:v>
      </x:c>
      <x:c r="D139" s="488" t="str">
        <x:f>'原始订单'!C139</x:f>
        <x:v>C1057</x:v>
      </x:c>
      <x:c r="E139" s="488" t="str">
        <x:f>'原始订单'!D139</x:f>
        <x:v>自然搜索</x:v>
      </x:c>
      <x:c r="F139" s="488" t="str">
        <x:f>'原始订单'!E139</x:f>
        <x:v>无线标签机</x:v>
      </x:c>
      <x:c r="G139" s="489" t="n">
        <x:f>'原始订单'!F139</x:f>
        <x:v>1</x:v>
      </x:c>
      <x:c r="H139" s="489" t="n">
        <x:f>'原始订单'!G139</x:f>
        <x:v>239</x:v>
      </x:c>
      <x:c r="I139" s="490" t="n">
        <x:f>'原始订单'!H139</x:f>
        <x:v>0.05</x:v>
      </x:c>
      <x:c r="J139" s="491" t="n">
        <x:f>'原始订单'!I139</x:f>
        <x:v>0</x:v>
      </x:c>
      <x:c r="K139" s="492" t="n">
        <x:f>'原始订单'!J139</x:f>
        <x:v>118</x:v>
      </x:c>
      <x:c r="L139" s="492" t="n">
        <x:f>G139*H139</x:f>
        <x:v>239</x:v>
      </x:c>
      <x:c r="M139" s="492" t="n">
        <x:f>L139*I139</x:f>
        <x:v>11.950000000000001</x:v>
      </x:c>
      <x:c r="N139" s="492" t="n">
        <x:f>(L139-M139)*J139</x:f>
        <x:v>0</x:v>
      </x:c>
      <x:c r="O139" s="492" t="n">
        <x:f>L139-M139-N139</x:f>
        <x:v>227.05</x:v>
      </x:c>
      <x:c r="P139" s="492" t="n">
        <x:f>G139*K139*(1-J139)</x:f>
        <x:v>118</x:v>
      </x:c>
      <x:c r="Q139" s="492" t="n">
        <x:f>O139-P139</x:f>
        <x:v>109.05000000000001</x:v>
      </x:c>
      <x:c r="R139" s="490" t="n">
        <x:f>IF(O139=0,0,Q139/O139)</x:f>
        <x:v>0.48029068487117377</x:v>
      </x:c>
      <x:c r="S139" s="488" t="str">
        <x:f>IF(J139=1,"退款",IF(I139&gt;=0.2,"高折扣","正常"))</x:f>
        <x:v>正常</x:v>
      </x:c>
    </x:row>
    <x:row r="140">
      <x:c r="A140" s="486" t="n">
        <x:f>'原始订单'!A140</x:f>
        <x:v>46205</x:v>
      </x:c>
      <x:c r="B140" s="487" t="n">
        <x:f>DATE(YEAR(A140),MONTH(A140),1)</x:f>
        <x:v>46204</x:v>
      </x:c>
      <x:c r="C140" s="488" t="str">
        <x:f>'原始订单'!B140</x:f>
        <x:v>D20260136</x:v>
      </x:c>
      <x:c r="D140" s="488" t="str">
        <x:f>'原始订单'!C140</x:f>
        <x:v>C1129</x:v>
      </x:c>
      <x:c r="E140" s="488" t="str">
        <x:f>'原始订单'!D140</x:f>
        <x:v>抖音广告</x:v>
      </x:c>
      <x:c r="F140" s="488" t="str">
        <x:f>'原始订单'!E140</x:f>
        <x:v>便携补光灯</x:v>
      </x:c>
      <x:c r="G140" s="489" t="n">
        <x:f>'原始订单'!F140</x:f>
        <x:v>2</x:v>
      </x:c>
      <x:c r="H140" s="489" t="n">
        <x:f>'原始订单'!G140</x:f>
        <x:v>159</x:v>
      </x:c>
      <x:c r="I140" s="490" t="n">
        <x:f>'原始订单'!H140</x:f>
        <x:v>0.1</x:v>
      </x:c>
      <x:c r="J140" s="491" t="n">
        <x:f>'原始订单'!I140</x:f>
        <x:v>0</x:v>
      </x:c>
      <x:c r="K140" s="492" t="n">
        <x:f>'原始订单'!J140</x:f>
        <x:v>72</x:v>
      </x:c>
      <x:c r="L140" s="492" t="n">
        <x:f>G140*H140</x:f>
        <x:v>318</x:v>
      </x:c>
      <x:c r="M140" s="492" t="n">
        <x:f>L140*I140</x:f>
        <x:v>31.8</x:v>
      </x:c>
      <x:c r="N140" s="492" t="n">
        <x:f>(L140-M140)*J140</x:f>
        <x:v>0</x:v>
      </x:c>
      <x:c r="O140" s="492" t="n">
        <x:f>L140-M140-N140</x:f>
        <x:v>286.2</x:v>
      </x:c>
      <x:c r="P140" s="492" t="n">
        <x:f>G140*K140*(1-J140)</x:f>
        <x:v>144</x:v>
      </x:c>
      <x:c r="Q140" s="492" t="n">
        <x:f>O140-P140</x:f>
        <x:v>142.2</x:v>
      </x:c>
      <x:c r="R140" s="490" t="n">
        <x:f>IF(O140=0,0,Q140/O140)</x:f>
        <x:v>0.4968553459119497</x:v>
      </x:c>
      <x:c r="S140" s="488" t="str">
        <x:f>IF(J140=1,"退款",IF(I140&gt;=0.2,"高折扣","正常"))</x:f>
        <x:v>正常</x:v>
      </x:c>
    </x:row>
    <x:row r="141">
      <x:c r="A141" s="486" t="n">
        <x:f>'原始订单'!A141</x:f>
        <x:v>46206</x:v>
      </x:c>
      <x:c r="B141" s="487" t="n">
        <x:f>DATE(YEAR(A141),MONTH(A141),1)</x:f>
        <x:v>46204</x:v>
      </x:c>
      <x:c r="C141" s="488" t="str">
        <x:f>'原始订单'!B141</x:f>
        <x:v>D20260137</x:v>
      </x:c>
      <x:c r="D141" s="488" t="str">
        <x:f>'原始订单'!C141</x:f>
        <x:v>C1070</x:v>
      </x:c>
      <x:c r="E141" s="488" t="str">
        <x:f>'原始订单'!D141</x:f>
        <x:v>抖音广告</x:v>
      </x:c>
      <x:c r="F141" s="488" t="str">
        <x:f>'原始订单'!E141</x:f>
        <x:v>桌面收纳架</x:v>
      </x:c>
      <x:c r="G141" s="489" t="n">
        <x:f>'原始订单'!F141</x:f>
        <x:v>1</x:v>
      </x:c>
      <x:c r="H141" s="489" t="n">
        <x:f>'原始订单'!G141</x:f>
        <x:v>89</x:v>
      </x:c>
      <x:c r="I141" s="490" t="n">
        <x:f>'原始订单'!H141</x:f>
        <x:v>0.1</x:v>
      </x:c>
      <x:c r="J141" s="491" t="n">
        <x:f>'原始订单'!I141</x:f>
        <x:v>0</x:v>
      </x:c>
      <x:c r="K141" s="492" t="n">
        <x:f>'原始订单'!J141</x:f>
        <x:v>32</x:v>
      </x:c>
      <x:c r="L141" s="492" t="n">
        <x:f>G141*H141</x:f>
        <x:v>89</x:v>
      </x:c>
      <x:c r="M141" s="492" t="n">
        <x:f>L141*I141</x:f>
        <x:v>8.9</x:v>
      </x:c>
      <x:c r="N141" s="492" t="n">
        <x:f>(L141-M141)*J141</x:f>
        <x:v>0</x:v>
      </x:c>
      <x:c r="O141" s="492" t="n">
        <x:f>L141-M141-N141</x:f>
        <x:v>80.1</x:v>
      </x:c>
      <x:c r="P141" s="492" t="n">
        <x:f>G141*K141*(1-J141)</x:f>
        <x:v>32</x:v>
      </x:c>
      <x:c r="Q141" s="492" t="n">
        <x:f>O141-P141</x:f>
        <x:v>48.099999999999994</x:v>
      </x:c>
      <x:c r="R141" s="490" t="n">
        <x:f>IF(O141=0,0,Q141/O141)</x:f>
        <x:v>0.6004993757802747</x:v>
      </x:c>
      <x:c r="S141" s="488" t="str">
        <x:f>IF(J141=1,"退款",IF(I141&gt;=0.2,"高折扣","正常"))</x:f>
        <x:v>正常</x:v>
      </x:c>
    </x:row>
    <x:row r="142">
      <x:c r="A142" s="486" t="n">
        <x:f>'原始订单'!A142</x:f>
        <x:v>46206</x:v>
      </x:c>
      <x:c r="B142" s="487" t="n">
        <x:f>DATE(YEAR(A142),MONTH(A142),1)</x:f>
        <x:v>46204</x:v>
      </x:c>
      <x:c r="C142" s="488" t="str">
        <x:f>'原始订单'!B142</x:f>
        <x:v>D20260138</x:v>
      </x:c>
      <x:c r="D142" s="488" t="str">
        <x:f>'原始订单'!C142</x:f>
        <x:v>C1105</x:v>
      </x:c>
      <x:c r="E142" s="488" t="str">
        <x:f>'原始订单'!D142</x:f>
        <x:v>抖音广告</x:v>
      </x:c>
      <x:c r="F142" s="488" t="str">
        <x:f>'原始订单'!E142</x:f>
        <x:v>轻量旅行杯</x:v>
      </x:c>
      <x:c r="G142" s="489" t="n">
        <x:f>'原始订单'!F142</x:f>
        <x:v>1</x:v>
      </x:c>
      <x:c r="H142" s="489" t="n">
        <x:f>'原始订单'!G142</x:f>
        <x:v>129</x:v>
      </x:c>
      <x:c r="I142" s="490" t="n">
        <x:f>'原始订单'!H142</x:f>
        <x:v>0.05</x:v>
      </x:c>
      <x:c r="J142" s="491" t="n">
        <x:f>'原始订单'!I142</x:f>
        <x:v>0</x:v>
      </x:c>
      <x:c r="K142" s="492" t="n">
        <x:f>'原始订单'!J142</x:f>
        <x:v>48</x:v>
      </x:c>
      <x:c r="L142" s="492" t="n">
        <x:f>G142*H142</x:f>
        <x:v>129</x:v>
      </x:c>
      <x:c r="M142" s="492" t="n">
        <x:f>L142*I142</x:f>
        <x:v>6.45</x:v>
      </x:c>
      <x:c r="N142" s="492" t="n">
        <x:f>(L142-M142)*J142</x:f>
        <x:v>0</x:v>
      </x:c>
      <x:c r="O142" s="492" t="n">
        <x:f>L142-M142-N142</x:f>
        <x:v>122.55</x:v>
      </x:c>
      <x:c r="P142" s="492" t="n">
        <x:f>G142*K142*(1-J142)</x:f>
        <x:v>48</x:v>
      </x:c>
      <x:c r="Q142" s="492" t="n">
        <x:f>O142-P142</x:f>
        <x:v>74.55</x:v>
      </x:c>
      <x:c r="R142" s="490" t="n">
        <x:f>IF(O142=0,0,Q142/O142)</x:f>
        <x:v>0.6083231334149327</x:v>
      </x:c>
      <x:c r="S142" s="488" t="str">
        <x:f>IF(J142=1,"退款",IF(I142&gt;=0.2,"高折扣","正常"))</x:f>
        <x:v>正常</x:v>
      </x:c>
    </x:row>
    <x:row r="143">
      <x:c r="A143" s="486" t="n">
        <x:f>'原始订单'!A143</x:f>
        <x:v>46207</x:v>
      </x:c>
      <x:c r="B143" s="487" t="n">
        <x:f>DATE(YEAR(A143),MONTH(A143),1)</x:f>
        <x:v>46204</x:v>
      </x:c>
      <x:c r="C143" s="488" t="str">
        <x:f>'原始订单'!B143</x:f>
        <x:v>D20260139</x:v>
      </x:c>
      <x:c r="D143" s="488" t="str">
        <x:f>'原始订单'!C143</x:f>
        <x:v>C1039</x:v>
      </x:c>
      <x:c r="E143" s="488" t="str">
        <x:f>'原始订单'!D143</x:f>
        <x:v>小红书</x:v>
      </x:c>
      <x:c r="F143" s="488" t="str">
        <x:f>'原始订单'!E143</x:f>
        <x:v>无线标签机</x:v>
      </x:c>
      <x:c r="G143" s="489" t="n">
        <x:f>'原始订单'!F143</x:f>
        <x:v>2</x:v>
      </x:c>
      <x:c r="H143" s="489" t="n">
        <x:f>'原始订单'!G143</x:f>
        <x:v>239</x:v>
      </x:c>
      <x:c r="I143" s="490" t="n">
        <x:f>'原始订单'!H143</x:f>
        <x:v>0</x:v>
      </x:c>
      <x:c r="J143" s="491" t="n">
        <x:f>'原始订单'!I143</x:f>
        <x:v>0</x:v>
      </x:c>
      <x:c r="K143" s="492" t="n">
        <x:f>'原始订单'!J143</x:f>
        <x:v>118</x:v>
      </x:c>
      <x:c r="L143" s="492" t="n">
        <x:f>G143*H143</x:f>
        <x:v>478</x:v>
      </x:c>
      <x:c r="M143" s="492" t="n">
        <x:f>L143*I143</x:f>
        <x:v>0</x:v>
      </x:c>
      <x:c r="N143" s="492" t="n">
        <x:f>(L143-M143)*J143</x:f>
        <x:v>0</x:v>
      </x:c>
      <x:c r="O143" s="492" t="n">
        <x:f>L143-M143-N143</x:f>
        <x:v>478</x:v>
      </x:c>
      <x:c r="P143" s="492" t="n">
        <x:f>G143*K143*(1-J143)</x:f>
        <x:v>236</x:v>
      </x:c>
      <x:c r="Q143" s="492" t="n">
        <x:f>O143-P143</x:f>
        <x:v>242</x:v>
      </x:c>
      <x:c r="R143" s="490" t="n">
        <x:f>IF(O143=0,0,Q143/O143)</x:f>
        <x:v>0.5062761506276151</x:v>
      </x:c>
      <x:c r="S143" s="488" t="str">
        <x:f>IF(J143=1,"退款",IF(I143&gt;=0.2,"高折扣","正常"))</x:f>
        <x:v>正常</x:v>
      </x:c>
    </x:row>
    <x:row r="144">
      <x:c r="A144" s="486" t="n">
        <x:f>'原始订单'!A144</x:f>
        <x:v>46207</x:v>
      </x:c>
      <x:c r="B144" s="487" t="n">
        <x:f>DATE(YEAR(A144),MONTH(A144),1)</x:f>
        <x:v>46204</x:v>
      </x:c>
      <x:c r="C144" s="488" t="str">
        <x:f>'原始订单'!B144</x:f>
        <x:v>D20260140</x:v>
      </x:c>
      <x:c r="D144" s="488" t="str">
        <x:f>'原始订单'!C144</x:f>
        <x:v>C1109</x:v>
      </x:c>
      <x:c r="E144" s="488" t="str">
        <x:f>'原始订单'!D144</x:f>
        <x:v>抖音广告</x:v>
      </x:c>
      <x:c r="F144" s="488" t="str">
        <x:f>'原始订单'!E144</x:f>
        <x:v>桌面收纳架</x:v>
      </x:c>
      <x:c r="G144" s="489" t="n">
        <x:f>'原始订单'!F144</x:f>
        <x:v>1</x:v>
      </x:c>
      <x:c r="H144" s="489" t="n">
        <x:f>'原始订单'!G144</x:f>
        <x:v>89</x:v>
      </x:c>
      <x:c r="I144" s="490" t="n">
        <x:f>'原始订单'!H144</x:f>
        <x:v>0</x:v>
      </x:c>
      <x:c r="J144" s="491" t="n">
        <x:f>'原始订单'!I144</x:f>
        <x:v>0</x:v>
      </x:c>
      <x:c r="K144" s="492" t="n">
        <x:f>'原始订单'!J144</x:f>
        <x:v>32</x:v>
      </x:c>
      <x:c r="L144" s="492" t="n">
        <x:f>G144*H144</x:f>
        <x:v>89</x:v>
      </x:c>
      <x:c r="M144" s="492" t="n">
        <x:f>L144*I144</x:f>
        <x:v>0</x:v>
      </x:c>
      <x:c r="N144" s="492" t="n">
        <x:f>(L144-M144)*J144</x:f>
        <x:v>0</x:v>
      </x:c>
      <x:c r="O144" s="492" t="n">
        <x:f>L144-M144-N144</x:f>
        <x:v>89</x:v>
      </x:c>
      <x:c r="P144" s="492" t="n">
        <x:f>G144*K144*(1-J144)</x:f>
        <x:v>32</x:v>
      </x:c>
      <x:c r="Q144" s="492" t="n">
        <x:f>O144-P144</x:f>
        <x:v>57</x:v>
      </x:c>
      <x:c r="R144" s="490" t="n">
        <x:f>IF(O144=0,0,Q144/O144)</x:f>
        <x:v>0.6404494382022472</x:v>
      </x:c>
      <x:c r="S144" s="488" t="str">
        <x:f>IF(J144=1,"退款",IF(I144&gt;=0.2,"高折扣","正常"))</x:f>
        <x:v>正常</x:v>
      </x:c>
    </x:row>
    <x:row r="145">
      <x:c r="A145" s="486" t="n">
        <x:f>'原始订单'!A145</x:f>
        <x:v>46207</x:v>
      </x:c>
      <x:c r="B145" s="487" t="n">
        <x:f>DATE(YEAR(A145),MONTH(A145),1)</x:f>
        <x:v>46204</x:v>
      </x:c>
      <x:c r="C145" s="488" t="str">
        <x:f>'原始订单'!B145</x:f>
        <x:v>D20260141</x:v>
      </x:c>
      <x:c r="D145" s="488" t="str">
        <x:f>'原始订单'!C145</x:f>
        <x:v>C1007</x:v>
      </x:c>
      <x:c r="E145" s="488" t="str">
        <x:f>'原始订单'!D145</x:f>
        <x:v>自然搜索</x:v>
      </x:c>
      <x:c r="F145" s="488" t="str">
        <x:f>'原始订单'!E145</x:f>
        <x:v>轻量旅行杯</x:v>
      </x:c>
      <x:c r="G145" s="489" t="n">
        <x:f>'原始订单'!F145</x:f>
        <x:v>1</x:v>
      </x:c>
      <x:c r="H145" s="489" t="n">
        <x:f>'原始订单'!G145</x:f>
        <x:v>129</x:v>
      </x:c>
      <x:c r="I145" s="490" t="n">
        <x:f>'原始订单'!H145</x:f>
        <x:v>0.2</x:v>
      </x:c>
      <x:c r="J145" s="491" t="n">
        <x:f>'原始订单'!I145</x:f>
        <x:v>0</x:v>
      </x:c>
      <x:c r="K145" s="492" t="n">
        <x:f>'原始订单'!J145</x:f>
        <x:v>48</x:v>
      </x:c>
      <x:c r="L145" s="492" t="n">
        <x:f>G145*H145</x:f>
        <x:v>129</x:v>
      </x:c>
      <x:c r="M145" s="492" t="n">
        <x:f>L145*I145</x:f>
        <x:v>25.8</x:v>
      </x:c>
      <x:c r="N145" s="492" t="n">
        <x:f>(L145-M145)*J145</x:f>
        <x:v>0</x:v>
      </x:c>
      <x:c r="O145" s="492" t="n">
        <x:f>L145-M145-N145</x:f>
        <x:v>103.2</x:v>
      </x:c>
      <x:c r="P145" s="492" t="n">
        <x:f>G145*K145*(1-J145)</x:f>
        <x:v>48</x:v>
      </x:c>
      <x:c r="Q145" s="492" t="n">
        <x:f>O145-P145</x:f>
        <x:v>55.2</x:v>
      </x:c>
      <x:c r="R145" s="490" t="n">
        <x:f>IF(O145=0,0,Q145/O145)</x:f>
        <x:v>0.5348837209302326</x:v>
      </x:c>
      <x:c r="S145" s="488" t="str">
        <x:f>IF(J145=1,"退款",IF(I145&gt;=0.2,"高折扣","正常"))</x:f>
        <x:v>高折扣</x:v>
      </x:c>
    </x:row>
    <x:row r="146">
      <x:c r="A146" s="486" t="n">
        <x:f>'原始订单'!A146</x:f>
        <x:v>46207</x:v>
      </x:c>
      <x:c r="B146" s="487" t="n">
        <x:f>DATE(YEAR(A146),MONTH(A146),1)</x:f>
        <x:v>46204</x:v>
      </x:c>
      <x:c r="C146" s="488" t="str">
        <x:f>'原始订单'!B146</x:f>
        <x:v>D20260142</x:v>
      </x:c>
      <x:c r="D146" s="488" t="str">
        <x:f>'原始订单'!C146</x:f>
        <x:v>C1026</x:v>
      </x:c>
      <x:c r="E146" s="488" t="str">
        <x:f>'原始订单'!D146</x:f>
        <x:v>自然搜索</x:v>
      </x:c>
      <x:c r="F146" s="488" t="str">
        <x:f>'原始订单'!E146</x:f>
        <x:v>便携补光灯</x:v>
      </x:c>
      <x:c r="G146" s="489" t="n">
        <x:f>'原始订单'!F146</x:f>
        <x:v>1</x:v>
      </x:c>
      <x:c r="H146" s="489" t="n">
        <x:f>'原始订单'!G146</x:f>
        <x:v>159</x:v>
      </x:c>
      <x:c r="I146" s="490" t="n">
        <x:f>'原始订单'!H146</x:f>
        <x:v>0</x:v>
      </x:c>
      <x:c r="J146" s="491" t="n">
        <x:f>'原始订单'!I146</x:f>
        <x:v>0</x:v>
      </x:c>
      <x:c r="K146" s="492" t="n">
        <x:f>'原始订单'!J146</x:f>
        <x:v>72</x:v>
      </x:c>
      <x:c r="L146" s="492" t="n">
        <x:f>G146*H146</x:f>
        <x:v>159</x:v>
      </x:c>
      <x:c r="M146" s="492" t="n">
        <x:f>L146*I146</x:f>
        <x:v>0</x:v>
      </x:c>
      <x:c r="N146" s="492" t="n">
        <x:f>(L146-M146)*J146</x:f>
        <x:v>0</x:v>
      </x:c>
      <x:c r="O146" s="492" t="n">
        <x:f>L146-M146-N146</x:f>
        <x:v>159</x:v>
      </x:c>
      <x:c r="P146" s="492" t="n">
        <x:f>G146*K146*(1-J146)</x:f>
        <x:v>72</x:v>
      </x:c>
      <x:c r="Q146" s="492" t="n">
        <x:f>O146-P146</x:f>
        <x:v>87</x:v>
      </x:c>
      <x:c r="R146" s="490" t="n">
        <x:f>IF(O146=0,0,Q146/O146)</x:f>
        <x:v>0.5471698113207547</x:v>
      </x:c>
      <x:c r="S146" s="488" t="str">
        <x:f>IF(J146=1,"退款",IF(I146&gt;=0.2,"高折扣","正常"))</x:f>
        <x:v>正常</x:v>
      </x:c>
    </x:row>
    <x:row r="147">
      <x:c r="A147" s="486" t="n">
        <x:f>'原始订单'!A147</x:f>
        <x:v>46207</x:v>
      </x:c>
      <x:c r="B147" s="487" t="n">
        <x:f>DATE(YEAR(A147),MONTH(A147),1)</x:f>
        <x:v>46204</x:v>
      </x:c>
      <x:c r="C147" s="488" t="str">
        <x:f>'原始订单'!B147</x:f>
        <x:v>D20260143</x:v>
      </x:c>
      <x:c r="D147" s="488" t="str">
        <x:f>'原始订单'!C147</x:f>
        <x:v>C1016</x:v>
      </x:c>
      <x:c r="E147" s="488" t="str">
        <x:f>'原始订单'!D147</x:f>
        <x:v>老客复购</x:v>
      </x:c>
      <x:c r="F147" s="488" t="str">
        <x:f>'原始订单'!E147</x:f>
        <x:v>桌面收纳架</x:v>
      </x:c>
      <x:c r="G147" s="489" t="n">
        <x:f>'原始订单'!F147</x:f>
        <x:v>2</x:v>
      </x:c>
      <x:c r="H147" s="489" t="n">
        <x:f>'原始订单'!G147</x:f>
        <x:v>89</x:v>
      </x:c>
      <x:c r="I147" s="490" t="n">
        <x:f>'原始订单'!H147</x:f>
        <x:v>0.1</x:v>
      </x:c>
      <x:c r="J147" s="491" t="n">
        <x:f>'原始订单'!I147</x:f>
        <x:v>0</x:v>
      </x:c>
      <x:c r="K147" s="492" t="n">
        <x:f>'原始订单'!J147</x:f>
        <x:v>32</x:v>
      </x:c>
      <x:c r="L147" s="492" t="n">
        <x:f>G147*H147</x:f>
        <x:v>178</x:v>
      </x:c>
      <x:c r="M147" s="492" t="n">
        <x:f>L147*I147</x:f>
        <x:v>17.8</x:v>
      </x:c>
      <x:c r="N147" s="492" t="n">
        <x:f>(L147-M147)*J147</x:f>
        <x:v>0</x:v>
      </x:c>
      <x:c r="O147" s="492" t="n">
        <x:f>L147-M147-N147</x:f>
        <x:v>160.2</x:v>
      </x:c>
      <x:c r="P147" s="492" t="n">
        <x:f>G147*K147*(1-J147)</x:f>
        <x:v>64</x:v>
      </x:c>
      <x:c r="Q147" s="492" t="n">
        <x:f>O147-P147</x:f>
        <x:v>96.19999999999999</x:v>
      </x:c>
      <x:c r="R147" s="490" t="n">
        <x:f>IF(O147=0,0,Q147/O147)</x:f>
        <x:v>0.6004993757802747</x:v>
      </x:c>
      <x:c r="S147" s="488" t="str">
        <x:f>IF(J147=1,"退款",IF(I147&gt;=0.2,"高折扣","正常"))</x:f>
        <x:v>正常</x:v>
      </x:c>
    </x:row>
    <x:row r="148">
      <x:c r="A148" s="486" t="n">
        <x:f>'原始订单'!A148</x:f>
        <x:v>46208</x:v>
      </x:c>
      <x:c r="B148" s="487" t="n">
        <x:f>DATE(YEAR(A148),MONTH(A148),1)</x:f>
        <x:v>46204</x:v>
      </x:c>
      <x:c r="C148" s="488" t="str">
        <x:f>'原始订单'!B148</x:f>
        <x:v>D20260144</x:v>
      </x:c>
      <x:c r="D148" s="488" t="str">
        <x:f>'原始订单'!C148</x:f>
        <x:v>C1101</x:v>
      </x:c>
      <x:c r="E148" s="488" t="str">
        <x:f>'原始订单'!D148</x:f>
        <x:v>抖音广告</x:v>
      </x:c>
      <x:c r="F148" s="488" t="str">
        <x:f>'原始订单'!E148</x:f>
        <x:v>便携补光灯</x:v>
      </x:c>
      <x:c r="G148" s="489" t="n">
        <x:f>'原始订单'!F148</x:f>
        <x:v>1</x:v>
      </x:c>
      <x:c r="H148" s="489" t="n">
        <x:f>'原始订单'!G148</x:f>
        <x:v>159</x:v>
      </x:c>
      <x:c r="I148" s="490" t="n">
        <x:f>'原始订单'!H148</x:f>
        <x:v>0.05</x:v>
      </x:c>
      <x:c r="J148" s="491" t="n">
        <x:f>'原始订单'!I148</x:f>
        <x:v>0</x:v>
      </x:c>
      <x:c r="K148" s="492" t="n">
        <x:f>'原始订单'!J148</x:f>
        <x:v>72</x:v>
      </x:c>
      <x:c r="L148" s="492" t="n">
        <x:f>G148*H148</x:f>
        <x:v>159</x:v>
      </x:c>
      <x:c r="M148" s="492" t="n">
        <x:f>L148*I148</x:f>
        <x:v>7.95</x:v>
      </x:c>
      <x:c r="N148" s="492" t="n">
        <x:f>(L148-M148)*J148</x:f>
        <x:v>0</x:v>
      </x:c>
      <x:c r="O148" s="492" t="n">
        <x:f>L148-M148-N148</x:f>
        <x:v>151.05</x:v>
      </x:c>
      <x:c r="P148" s="492" t="n">
        <x:f>G148*K148*(1-J148)</x:f>
        <x:v>72</x:v>
      </x:c>
      <x:c r="Q148" s="492" t="n">
        <x:f>O148-P148</x:f>
        <x:v>79.05000000000001</x:v>
      </x:c>
      <x:c r="R148" s="490" t="n">
        <x:f>IF(O148=0,0,Q148/O148)</x:f>
        <x:v>0.5233366434955313</x:v>
      </x:c>
      <x:c r="S148" s="488" t="str">
        <x:f>IF(J148=1,"退款",IF(I148&gt;=0.2,"高折扣","正常"))</x:f>
        <x:v>正常</x:v>
      </x:c>
    </x:row>
    <x:row r="149">
      <x:c r="A149" s="486" t="n">
        <x:f>'原始订单'!A149</x:f>
        <x:v>46208</x:v>
      </x:c>
      <x:c r="B149" s="487" t="n">
        <x:f>DATE(YEAR(A149),MONTH(A149),1)</x:f>
        <x:v>46204</x:v>
      </x:c>
      <x:c r="C149" s="488" t="str">
        <x:f>'原始订单'!B149</x:f>
        <x:v>D20260145</x:v>
      </x:c>
      <x:c r="D149" s="488" t="str">
        <x:f>'原始订单'!C149</x:f>
        <x:v>C1020</x:v>
      </x:c>
      <x:c r="E149" s="488" t="str">
        <x:f>'原始订单'!D149</x:f>
        <x:v>抖音广告</x:v>
      </x:c>
      <x:c r="F149" s="488" t="str">
        <x:f>'原始订单'!E149</x:f>
        <x:v>便携补光灯</x:v>
      </x:c>
      <x:c r="G149" s="489" t="n">
        <x:f>'原始订单'!F149</x:f>
        <x:v>1</x:v>
      </x:c>
      <x:c r="H149" s="489" t="n">
        <x:f>'原始订单'!G149</x:f>
        <x:v>159</x:v>
      </x:c>
      <x:c r="I149" s="490" t="n">
        <x:f>'原始订单'!H149</x:f>
        <x:v>0.05</x:v>
      </x:c>
      <x:c r="J149" s="491" t="n">
        <x:f>'原始订单'!I149</x:f>
        <x:v>0</x:v>
      </x:c>
      <x:c r="K149" s="492" t="n">
        <x:f>'原始订单'!J149</x:f>
        <x:v>72</x:v>
      </x:c>
      <x:c r="L149" s="492" t="n">
        <x:f>G149*H149</x:f>
        <x:v>159</x:v>
      </x:c>
      <x:c r="M149" s="492" t="n">
        <x:f>L149*I149</x:f>
        <x:v>7.95</x:v>
      </x:c>
      <x:c r="N149" s="492" t="n">
        <x:f>(L149-M149)*J149</x:f>
        <x:v>0</x:v>
      </x:c>
      <x:c r="O149" s="492" t="n">
        <x:f>L149-M149-N149</x:f>
        <x:v>151.05</x:v>
      </x:c>
      <x:c r="P149" s="492" t="n">
        <x:f>G149*K149*(1-J149)</x:f>
        <x:v>72</x:v>
      </x:c>
      <x:c r="Q149" s="492" t="n">
        <x:f>O149-P149</x:f>
        <x:v>79.05000000000001</x:v>
      </x:c>
      <x:c r="R149" s="490" t="n">
        <x:f>IF(O149=0,0,Q149/O149)</x:f>
        <x:v>0.5233366434955313</x:v>
      </x:c>
      <x:c r="S149" s="488" t="str">
        <x:f>IF(J149=1,"退款",IF(I149&gt;=0.2,"高折扣","正常"))</x:f>
        <x:v>正常</x:v>
      </x:c>
    </x:row>
    <x:row r="150">
      <x:c r="A150" s="486" t="n">
        <x:f>'原始订单'!A150</x:f>
        <x:v>46208</x:v>
      </x:c>
      <x:c r="B150" s="487" t="n">
        <x:f>DATE(YEAR(A150),MONTH(A150),1)</x:f>
        <x:v>46204</x:v>
      </x:c>
      <x:c r="C150" s="488" t="str">
        <x:f>'原始订单'!B150</x:f>
        <x:v>D20260146</x:v>
      </x:c>
      <x:c r="D150" s="488" t="str">
        <x:f>'原始订单'!C150</x:f>
        <x:v>C1026</x:v>
      </x:c>
      <x:c r="E150" s="488" t="str">
        <x:f>'原始订单'!D150</x:f>
        <x:v>自然搜索</x:v>
      </x:c>
      <x:c r="F150" s="488" t="str">
        <x:f>'原始订单'!E150</x:f>
        <x:v>便携补光灯</x:v>
      </x:c>
      <x:c r="G150" s="489" t="n">
        <x:f>'原始订单'!F150</x:f>
        <x:v>1</x:v>
      </x:c>
      <x:c r="H150" s="489" t="n">
        <x:f>'原始订单'!G150</x:f>
        <x:v>159</x:v>
      </x:c>
      <x:c r="I150" s="490" t="n">
        <x:f>'原始订单'!H150</x:f>
        <x:v>0.1</x:v>
      </x:c>
      <x:c r="J150" s="491" t="n">
        <x:f>'原始订单'!I150</x:f>
        <x:v>0</x:v>
      </x:c>
      <x:c r="K150" s="492" t="n">
        <x:f>'原始订单'!J150</x:f>
        <x:v>72</x:v>
      </x:c>
      <x:c r="L150" s="492" t="n">
        <x:f>G150*H150</x:f>
        <x:v>159</x:v>
      </x:c>
      <x:c r="M150" s="492" t="n">
        <x:f>L150*I150</x:f>
        <x:v>15.9</x:v>
      </x:c>
      <x:c r="N150" s="492" t="n">
        <x:f>(L150-M150)*J150</x:f>
        <x:v>0</x:v>
      </x:c>
      <x:c r="O150" s="492" t="n">
        <x:f>L150-M150-N150</x:f>
        <x:v>143.1</x:v>
      </x:c>
      <x:c r="P150" s="492" t="n">
        <x:f>G150*K150*(1-J150)</x:f>
        <x:v>72</x:v>
      </x:c>
      <x:c r="Q150" s="492" t="n">
        <x:f>O150-P150</x:f>
        <x:v>71.1</x:v>
      </x:c>
      <x:c r="R150" s="490" t="n">
        <x:f>IF(O150=0,0,Q150/O150)</x:f>
        <x:v>0.4968553459119497</x:v>
      </x:c>
      <x:c r="S150" s="488" t="str">
        <x:f>IF(J150=1,"退款",IF(I150&gt;=0.2,"高折扣","正常"))</x:f>
        <x:v>正常</x:v>
      </x:c>
    </x:row>
    <x:row r="151">
      <x:c r="A151" s="486" t="n">
        <x:f>'原始订单'!A151</x:f>
        <x:v>46208</x:v>
      </x:c>
      <x:c r="B151" s="487" t="n">
        <x:f>DATE(YEAR(A151),MONTH(A151),1)</x:f>
        <x:v>46204</x:v>
      </x:c>
      <x:c r="C151" s="488" t="str">
        <x:f>'原始订单'!B151</x:f>
        <x:v>D20260147</x:v>
      </x:c>
      <x:c r="D151" s="488" t="str">
        <x:f>'原始订单'!C151</x:f>
        <x:v>C1112</x:v>
      </x:c>
      <x:c r="E151" s="488" t="str">
        <x:f>'原始订单'!D151</x:f>
        <x:v>自然搜索</x:v>
      </x:c>
      <x:c r="F151" s="488" t="str">
        <x:f>'原始订单'!E151</x:f>
        <x:v>便携补光灯</x:v>
      </x:c>
      <x:c r="G151" s="489" t="n">
        <x:f>'原始订单'!F151</x:f>
        <x:v>1</x:v>
      </x:c>
      <x:c r="H151" s="489" t="n">
        <x:f>'原始订单'!G151</x:f>
        <x:v>159</x:v>
      </x:c>
      <x:c r="I151" s="490" t="n">
        <x:f>'原始订单'!H151</x:f>
        <x:v>0</x:v>
      </x:c>
      <x:c r="J151" s="491" t="n">
        <x:f>'原始订单'!I151</x:f>
        <x:v>0</x:v>
      </x:c>
      <x:c r="K151" s="492" t="n">
        <x:f>'原始订单'!J151</x:f>
        <x:v>72</x:v>
      </x:c>
      <x:c r="L151" s="492" t="n">
        <x:f>G151*H151</x:f>
        <x:v>159</x:v>
      </x:c>
      <x:c r="M151" s="492" t="n">
        <x:f>L151*I151</x:f>
        <x:v>0</x:v>
      </x:c>
      <x:c r="N151" s="492" t="n">
        <x:f>(L151-M151)*J151</x:f>
        <x:v>0</x:v>
      </x:c>
      <x:c r="O151" s="492" t="n">
        <x:f>L151-M151-N151</x:f>
        <x:v>159</x:v>
      </x:c>
      <x:c r="P151" s="492" t="n">
        <x:f>G151*K151*(1-J151)</x:f>
        <x:v>72</x:v>
      </x:c>
      <x:c r="Q151" s="492" t="n">
        <x:f>O151-P151</x:f>
        <x:v>87</x:v>
      </x:c>
      <x:c r="R151" s="490" t="n">
        <x:f>IF(O151=0,0,Q151/O151)</x:f>
        <x:v>0.5471698113207547</x:v>
      </x:c>
      <x:c r="S151" s="488" t="str">
        <x:f>IF(J151=1,"退款",IF(I151&gt;=0.2,"高折扣","正常"))</x:f>
        <x:v>正常</x:v>
      </x:c>
    </x:row>
    <x:row r="152">
      <x:c r="A152" s="486" t="n">
        <x:f>'原始订单'!A152</x:f>
        <x:v>46209</x:v>
      </x:c>
      <x:c r="B152" s="487" t="n">
        <x:f>DATE(YEAR(A152),MONTH(A152),1)</x:f>
        <x:v>46204</x:v>
      </x:c>
      <x:c r="C152" s="488" t="str">
        <x:f>'原始订单'!B152</x:f>
        <x:v>D20260148</x:v>
      </x:c>
      <x:c r="D152" s="488" t="str">
        <x:f>'原始订单'!C152</x:f>
        <x:v>C1109</x:v>
      </x:c>
      <x:c r="E152" s="488" t="str">
        <x:f>'原始订单'!D152</x:f>
        <x:v>自然搜索</x:v>
      </x:c>
      <x:c r="F152" s="488" t="str">
        <x:f>'原始订单'!E152</x:f>
        <x:v>桌面收纳架</x:v>
      </x:c>
      <x:c r="G152" s="489" t="n">
        <x:f>'原始订单'!F152</x:f>
        <x:v>1</x:v>
      </x:c>
      <x:c r="H152" s="489" t="n">
        <x:f>'原始订单'!G152</x:f>
        <x:v>89</x:v>
      </x:c>
      <x:c r="I152" s="490" t="n">
        <x:f>'原始订单'!H152</x:f>
        <x:v>0.05</x:v>
      </x:c>
      <x:c r="J152" s="491" t="n">
        <x:f>'原始订单'!I152</x:f>
        <x:v>0</x:v>
      </x:c>
      <x:c r="K152" s="492" t="n">
        <x:f>'原始订单'!J152</x:f>
        <x:v>32</x:v>
      </x:c>
      <x:c r="L152" s="492" t="n">
        <x:f>G152*H152</x:f>
        <x:v>89</x:v>
      </x:c>
      <x:c r="M152" s="492" t="n">
        <x:f>L152*I152</x:f>
        <x:v>4.45</x:v>
      </x:c>
      <x:c r="N152" s="492" t="n">
        <x:f>(L152-M152)*J152</x:f>
        <x:v>0</x:v>
      </x:c>
      <x:c r="O152" s="492" t="n">
        <x:f>L152-M152-N152</x:f>
        <x:v>84.55</x:v>
      </x:c>
      <x:c r="P152" s="492" t="n">
        <x:f>G152*K152*(1-J152)</x:f>
        <x:v>32</x:v>
      </x:c>
      <x:c r="Q152" s="492" t="n">
        <x:f>O152-P152</x:f>
        <x:v>52.55</x:v>
      </x:c>
      <x:c r="R152" s="490" t="n">
        <x:f>IF(O152=0,0,Q152/O152)</x:f>
        <x:v>0.6215257244234181</x:v>
      </x:c>
      <x:c r="S152" s="488" t="str">
        <x:f>IF(J152=1,"退款",IF(I152&gt;=0.2,"高折扣","正常"))</x:f>
        <x:v>正常</x:v>
      </x:c>
    </x:row>
    <x:row r="153">
      <x:c r="A153" s="486" t="n">
        <x:f>'原始订单'!A153</x:f>
        <x:v>46209</x:v>
      </x:c>
      <x:c r="B153" s="487" t="n">
        <x:f>DATE(YEAR(A153),MONTH(A153),1)</x:f>
        <x:v>46204</x:v>
      </x:c>
      <x:c r="C153" s="488" t="str">
        <x:f>'原始订单'!B153</x:f>
        <x:v>D20260149</x:v>
      </x:c>
      <x:c r="D153" s="488" t="str">
        <x:f>'原始订单'!C153</x:f>
        <x:v>C1099</x:v>
      </x:c>
      <x:c r="E153" s="488" t="str">
        <x:f>'原始订单'!D153</x:f>
        <x:v>抖音广告</x:v>
      </x:c>
      <x:c r="F153" s="488" t="str">
        <x:f>'原始订单'!E153</x:f>
        <x:v>轻量旅行杯</x:v>
      </x:c>
      <x:c r="G153" s="489" t="n">
        <x:f>'原始订单'!F153</x:f>
        <x:v>2</x:v>
      </x:c>
      <x:c r="H153" s="489" t="n">
        <x:f>'原始订单'!G153</x:f>
        <x:v>129</x:v>
      </x:c>
      <x:c r="I153" s="490" t="n">
        <x:f>'原始订单'!H153</x:f>
        <x:v>0.05</x:v>
      </x:c>
      <x:c r="J153" s="491" t="n">
        <x:f>'原始订单'!I153</x:f>
        <x:v>0</x:v>
      </x:c>
      <x:c r="K153" s="492" t="n">
        <x:f>'原始订单'!J153</x:f>
        <x:v>48</x:v>
      </x:c>
      <x:c r="L153" s="492" t="n">
        <x:f>G153*H153</x:f>
        <x:v>258</x:v>
      </x:c>
      <x:c r="M153" s="492" t="n">
        <x:f>L153*I153</x:f>
        <x:v>12.9</x:v>
      </x:c>
      <x:c r="N153" s="492" t="n">
        <x:f>(L153-M153)*J153</x:f>
        <x:v>0</x:v>
      </x:c>
      <x:c r="O153" s="492" t="n">
        <x:f>L153-M153-N153</x:f>
        <x:v>245.1</x:v>
      </x:c>
      <x:c r="P153" s="492" t="n">
        <x:f>G153*K153*(1-J153)</x:f>
        <x:v>96</x:v>
      </x:c>
      <x:c r="Q153" s="492" t="n">
        <x:f>O153-P153</x:f>
        <x:v>149.1</x:v>
      </x:c>
      <x:c r="R153" s="490" t="n">
        <x:f>IF(O153=0,0,Q153/O153)</x:f>
        <x:v>0.6083231334149327</x:v>
      </x:c>
      <x:c r="S153" s="488" t="str">
        <x:f>IF(J153=1,"退款",IF(I153&gt;=0.2,"高折扣","正常"))</x:f>
        <x:v>正常</x:v>
      </x:c>
    </x:row>
    <x:row r="154">
      <x:c r="A154" s="486" t="n">
        <x:f>'原始订单'!A154</x:f>
        <x:v>46209</x:v>
      </x:c>
      <x:c r="B154" s="487" t="n">
        <x:f>DATE(YEAR(A154),MONTH(A154),1)</x:f>
        <x:v>46204</x:v>
      </x:c>
      <x:c r="C154" s="488" t="str">
        <x:f>'原始订单'!B154</x:f>
        <x:v>D20260150</x:v>
      </x:c>
      <x:c r="D154" s="488" t="str">
        <x:f>'原始订单'!C154</x:f>
        <x:v>C1031</x:v>
      </x:c>
      <x:c r="E154" s="488" t="str">
        <x:f>'原始订单'!D154</x:f>
        <x:v>自然搜索</x:v>
      </x:c>
      <x:c r="F154" s="488" t="str">
        <x:f>'原始订单'!E154</x:f>
        <x:v>便携补光灯</x:v>
      </x:c>
      <x:c r="G154" s="489" t="n">
        <x:f>'原始订单'!F154</x:f>
        <x:v>1</x:v>
      </x:c>
      <x:c r="H154" s="489" t="n">
        <x:f>'原始订单'!G154</x:f>
        <x:v>159</x:v>
      </x:c>
      <x:c r="I154" s="490" t="n">
        <x:f>'原始订单'!H154</x:f>
        <x:v>0.05</x:v>
      </x:c>
      <x:c r="J154" s="491" t="n">
        <x:f>'原始订单'!I154</x:f>
        <x:v>0</x:v>
      </x:c>
      <x:c r="K154" s="492" t="n">
        <x:f>'原始订单'!J154</x:f>
        <x:v>72</x:v>
      </x:c>
      <x:c r="L154" s="492" t="n">
        <x:f>G154*H154</x:f>
        <x:v>159</x:v>
      </x:c>
      <x:c r="M154" s="492" t="n">
        <x:f>L154*I154</x:f>
        <x:v>7.95</x:v>
      </x:c>
      <x:c r="N154" s="492" t="n">
        <x:f>(L154-M154)*J154</x:f>
        <x:v>0</x:v>
      </x:c>
      <x:c r="O154" s="492" t="n">
        <x:f>L154-M154-N154</x:f>
        <x:v>151.05</x:v>
      </x:c>
      <x:c r="P154" s="492" t="n">
        <x:f>G154*K154*(1-J154)</x:f>
        <x:v>72</x:v>
      </x:c>
      <x:c r="Q154" s="492" t="n">
        <x:f>O154-P154</x:f>
        <x:v>79.05000000000001</x:v>
      </x:c>
      <x:c r="R154" s="490" t="n">
        <x:f>IF(O154=0,0,Q154/O154)</x:f>
        <x:v>0.5233366434955313</x:v>
      </x:c>
      <x:c r="S154" s="488" t="str">
        <x:f>IF(J154=1,"退款",IF(I154&gt;=0.2,"高折扣","正常"))</x:f>
        <x:v>正常</x:v>
      </x:c>
    </x:row>
    <x:row r="155">
      <x:c r="A155" s="486" t="n">
        <x:f>'原始订单'!A155</x:f>
        <x:v>46210</x:v>
      </x:c>
      <x:c r="B155" s="487" t="n">
        <x:f>DATE(YEAR(A155),MONTH(A155),1)</x:f>
        <x:v>46204</x:v>
      </x:c>
      <x:c r="C155" s="488" t="str">
        <x:f>'原始订单'!B155</x:f>
        <x:v>D20260151</x:v>
      </x:c>
      <x:c r="D155" s="488" t="str">
        <x:f>'原始订单'!C155</x:f>
        <x:v>C1137</x:v>
      </x:c>
      <x:c r="E155" s="488" t="str">
        <x:f>'原始订单'!D155</x:f>
        <x:v>抖音广告</x:v>
      </x:c>
      <x:c r="F155" s="488" t="str">
        <x:f>'原始订单'!E155</x:f>
        <x:v>便携补光灯</x:v>
      </x:c>
      <x:c r="G155" s="489" t="n">
        <x:f>'原始订单'!F155</x:f>
        <x:v>1</x:v>
      </x:c>
      <x:c r="H155" s="489" t="n">
        <x:f>'原始订单'!G155</x:f>
        <x:v>159</x:v>
      </x:c>
      <x:c r="I155" s="490" t="n">
        <x:f>'原始订单'!H155</x:f>
        <x:v>0.05</x:v>
      </x:c>
      <x:c r="J155" s="491" t="n">
        <x:f>'原始订单'!I155</x:f>
        <x:v>0</x:v>
      </x:c>
      <x:c r="K155" s="492" t="n">
        <x:f>'原始订单'!J155</x:f>
        <x:v>72</x:v>
      </x:c>
      <x:c r="L155" s="492" t="n">
        <x:f>G155*H155</x:f>
        <x:v>159</x:v>
      </x:c>
      <x:c r="M155" s="492" t="n">
        <x:f>L155*I155</x:f>
        <x:v>7.95</x:v>
      </x:c>
      <x:c r="N155" s="492" t="n">
        <x:f>(L155-M155)*J155</x:f>
        <x:v>0</x:v>
      </x:c>
      <x:c r="O155" s="492" t="n">
        <x:f>L155-M155-N155</x:f>
        <x:v>151.05</x:v>
      </x:c>
      <x:c r="P155" s="492" t="n">
        <x:f>G155*K155*(1-J155)</x:f>
        <x:v>72</x:v>
      </x:c>
      <x:c r="Q155" s="492" t="n">
        <x:f>O155-P155</x:f>
        <x:v>79.05000000000001</x:v>
      </x:c>
      <x:c r="R155" s="490" t="n">
        <x:f>IF(O155=0,0,Q155/O155)</x:f>
        <x:v>0.5233366434955313</x:v>
      </x:c>
      <x:c r="S155" s="488" t="str">
        <x:f>IF(J155=1,"退款",IF(I155&gt;=0.2,"高折扣","正常"))</x:f>
        <x:v>正常</x:v>
      </x:c>
    </x:row>
    <x:row r="156">
      <x:c r="A156" s="486" t="n">
        <x:f>'原始订单'!A156</x:f>
        <x:v>46211</x:v>
      </x:c>
      <x:c r="B156" s="487" t="n">
        <x:f>DATE(YEAR(A156),MONTH(A156),1)</x:f>
        <x:v>46204</x:v>
      </x:c>
      <x:c r="C156" s="488" t="str">
        <x:f>'原始订单'!B156</x:f>
        <x:v>D20260152</x:v>
      </x:c>
      <x:c r="D156" s="488" t="str">
        <x:f>'原始订单'!C156</x:f>
        <x:v>C1025</x:v>
      </x:c>
      <x:c r="E156" s="488" t="str">
        <x:f>'原始订单'!D156</x:f>
        <x:v>老客复购</x:v>
      </x:c>
      <x:c r="F156" s="488" t="str">
        <x:f>'原始订单'!E156</x:f>
        <x:v>无线标签机</x:v>
      </x:c>
      <x:c r="G156" s="489" t="n">
        <x:f>'原始订单'!F156</x:f>
        <x:v>1</x:v>
      </x:c>
      <x:c r="H156" s="489" t="n">
        <x:f>'原始订单'!G156</x:f>
        <x:v>239</x:v>
      </x:c>
      <x:c r="I156" s="490" t="n">
        <x:f>'原始订单'!H156</x:f>
        <x:v>0</x:v>
      </x:c>
      <x:c r="J156" s="491" t="n">
        <x:f>'原始订单'!I156</x:f>
        <x:v>0</x:v>
      </x:c>
      <x:c r="K156" s="492" t="n">
        <x:f>'原始订单'!J156</x:f>
        <x:v>118</x:v>
      </x:c>
      <x:c r="L156" s="492" t="n">
        <x:f>G156*H156</x:f>
        <x:v>239</x:v>
      </x:c>
      <x:c r="M156" s="492" t="n">
        <x:f>L156*I156</x:f>
        <x:v>0</x:v>
      </x:c>
      <x:c r="N156" s="492" t="n">
        <x:f>(L156-M156)*J156</x:f>
        <x:v>0</x:v>
      </x:c>
      <x:c r="O156" s="492" t="n">
        <x:f>L156-M156-N156</x:f>
        <x:v>239</x:v>
      </x:c>
      <x:c r="P156" s="492" t="n">
        <x:f>G156*K156*(1-J156)</x:f>
        <x:v>118</x:v>
      </x:c>
      <x:c r="Q156" s="492" t="n">
        <x:f>O156-P156</x:f>
        <x:v>121</x:v>
      </x:c>
      <x:c r="R156" s="490" t="n">
        <x:f>IF(O156=0,0,Q156/O156)</x:f>
        <x:v>0.5062761506276151</x:v>
      </x:c>
      <x:c r="S156" s="488" t="str">
        <x:f>IF(J156=1,"退款",IF(I156&gt;=0.2,"高折扣","正常"))</x:f>
        <x:v>正常</x:v>
      </x:c>
    </x:row>
    <x:row r="157">
      <x:c r="A157" s="486" t="n">
        <x:f>'原始订单'!A157</x:f>
        <x:v>46211</x:v>
      </x:c>
      <x:c r="B157" s="487" t="n">
        <x:f>DATE(YEAR(A157),MONTH(A157),1)</x:f>
        <x:v>46204</x:v>
      </x:c>
      <x:c r="C157" s="488" t="str">
        <x:f>'原始订单'!B157</x:f>
        <x:v>D20260153</x:v>
      </x:c>
      <x:c r="D157" s="488" t="str">
        <x:f>'原始订单'!C157</x:f>
        <x:v>C1087</x:v>
      </x:c>
      <x:c r="E157" s="488" t="str">
        <x:f>'原始订单'!D157</x:f>
        <x:v>抖音广告</x:v>
      </x:c>
      <x:c r="F157" s="488" t="str">
        <x:f>'原始订单'!E157</x:f>
        <x:v>桌面收纳架</x:v>
      </x:c>
      <x:c r="G157" s="489" t="n">
        <x:f>'原始订单'!F157</x:f>
        <x:v>1</x:v>
      </x:c>
      <x:c r="H157" s="489" t="n">
        <x:f>'原始订单'!G157</x:f>
        <x:v>89</x:v>
      </x:c>
      <x:c r="I157" s="490" t="n">
        <x:f>'原始订单'!H157</x:f>
        <x:v>0</x:v>
      </x:c>
      <x:c r="J157" s="491" t="n">
        <x:f>'原始订单'!I157</x:f>
        <x:v>0</x:v>
      </x:c>
      <x:c r="K157" s="492" t="n">
        <x:f>'原始订单'!J157</x:f>
        <x:v>32</x:v>
      </x:c>
      <x:c r="L157" s="492" t="n">
        <x:f>G157*H157</x:f>
        <x:v>89</x:v>
      </x:c>
      <x:c r="M157" s="492" t="n">
        <x:f>L157*I157</x:f>
        <x:v>0</x:v>
      </x:c>
      <x:c r="N157" s="492" t="n">
        <x:f>(L157-M157)*J157</x:f>
        <x:v>0</x:v>
      </x:c>
      <x:c r="O157" s="492" t="n">
        <x:f>L157-M157-N157</x:f>
        <x:v>89</x:v>
      </x:c>
      <x:c r="P157" s="492" t="n">
        <x:f>G157*K157*(1-J157)</x:f>
        <x:v>32</x:v>
      </x:c>
      <x:c r="Q157" s="492" t="n">
        <x:f>O157-P157</x:f>
        <x:v>57</x:v>
      </x:c>
      <x:c r="R157" s="490" t="n">
        <x:f>IF(O157=0,0,Q157/O157)</x:f>
        <x:v>0.6404494382022472</x:v>
      </x:c>
      <x:c r="S157" s="488" t="str">
        <x:f>IF(J157=1,"退款",IF(I157&gt;=0.2,"高折扣","正常"))</x:f>
        <x:v>正常</x:v>
      </x:c>
    </x:row>
    <x:row r="158">
      <x:c r="A158" s="486" t="n">
        <x:f>'原始订单'!A158</x:f>
        <x:v>46212</x:v>
      </x:c>
      <x:c r="B158" s="487" t="n">
        <x:f>DATE(YEAR(A158),MONTH(A158),1)</x:f>
        <x:v>46204</x:v>
      </x:c>
      <x:c r="C158" s="488" t="str">
        <x:f>'原始订单'!B158</x:f>
        <x:v>D20260154</x:v>
      </x:c>
      <x:c r="D158" s="488" t="str">
        <x:f>'原始订单'!C158</x:f>
        <x:v>C1062</x:v>
      </x:c>
      <x:c r="E158" s="488" t="str">
        <x:f>'原始订单'!D158</x:f>
        <x:v>自然搜索</x:v>
      </x:c>
      <x:c r="F158" s="488" t="str">
        <x:f>'原始订单'!E158</x:f>
        <x:v>无线标签机</x:v>
      </x:c>
      <x:c r="G158" s="489" t="n">
        <x:f>'原始订单'!F158</x:f>
        <x:v>1</x:v>
      </x:c>
      <x:c r="H158" s="489" t="n">
        <x:f>'原始订单'!G158</x:f>
        <x:v>239</x:v>
      </x:c>
      <x:c r="I158" s="490" t="n">
        <x:f>'原始订单'!H158</x:f>
        <x:v>0.05</x:v>
      </x:c>
      <x:c r="J158" s="491" t="n">
        <x:f>'原始订单'!I158</x:f>
        <x:v>0</x:v>
      </x:c>
      <x:c r="K158" s="492" t="n">
        <x:f>'原始订单'!J158</x:f>
        <x:v>118</x:v>
      </x:c>
      <x:c r="L158" s="492" t="n">
        <x:f>G158*H158</x:f>
        <x:v>239</x:v>
      </x:c>
      <x:c r="M158" s="492" t="n">
        <x:f>L158*I158</x:f>
        <x:v>11.950000000000001</x:v>
      </x:c>
      <x:c r="N158" s="492" t="n">
        <x:f>(L158-M158)*J158</x:f>
        <x:v>0</x:v>
      </x:c>
      <x:c r="O158" s="492" t="n">
        <x:f>L158-M158-N158</x:f>
        <x:v>227.05</x:v>
      </x:c>
      <x:c r="P158" s="492" t="n">
        <x:f>G158*K158*(1-J158)</x:f>
        <x:v>118</x:v>
      </x:c>
      <x:c r="Q158" s="492" t="n">
        <x:f>O158-P158</x:f>
        <x:v>109.05000000000001</x:v>
      </x:c>
      <x:c r="R158" s="490" t="n">
        <x:f>IF(O158=0,0,Q158/O158)</x:f>
        <x:v>0.48029068487117377</x:v>
      </x:c>
      <x:c r="S158" s="488" t="str">
        <x:f>IF(J158=1,"退款",IF(I158&gt;=0.2,"高折扣","正常"))</x:f>
        <x:v>正常</x:v>
      </x:c>
    </x:row>
    <x:row r="159">
      <x:c r="A159" s="486" t="n">
        <x:f>'原始订单'!A159</x:f>
        <x:v>46212</x:v>
      </x:c>
      <x:c r="B159" s="487" t="n">
        <x:f>DATE(YEAR(A159),MONTH(A159),1)</x:f>
        <x:v>46204</x:v>
      </x:c>
      <x:c r="C159" s="488" t="str">
        <x:f>'原始订单'!B159</x:f>
        <x:v>D20260155</x:v>
      </x:c>
      <x:c r="D159" s="488" t="str">
        <x:f>'原始订单'!C159</x:f>
        <x:v>C1024</x:v>
      </x:c>
      <x:c r="E159" s="488" t="str">
        <x:f>'原始订单'!D159</x:f>
        <x:v>抖音广告</x:v>
      </x:c>
      <x:c r="F159" s="488" t="str">
        <x:f>'原始订单'!E159</x:f>
        <x:v>轻量旅行杯</x:v>
      </x:c>
      <x:c r="G159" s="489" t="n">
        <x:f>'原始订单'!F159</x:f>
        <x:v>1</x:v>
      </x:c>
      <x:c r="H159" s="489" t="n">
        <x:f>'原始订单'!G159</x:f>
        <x:v>129</x:v>
      </x:c>
      <x:c r="I159" s="490" t="n">
        <x:f>'原始订单'!H159</x:f>
        <x:v>0.05</x:v>
      </x:c>
      <x:c r="J159" s="491" t="n">
        <x:f>'原始订单'!I159</x:f>
        <x:v>0</x:v>
      </x:c>
      <x:c r="K159" s="492" t="n">
        <x:f>'原始订单'!J159</x:f>
        <x:v>48</x:v>
      </x:c>
      <x:c r="L159" s="492" t="n">
        <x:f>G159*H159</x:f>
        <x:v>129</x:v>
      </x:c>
      <x:c r="M159" s="492" t="n">
        <x:f>L159*I159</x:f>
        <x:v>6.45</x:v>
      </x:c>
      <x:c r="N159" s="492" t="n">
        <x:f>(L159-M159)*J159</x:f>
        <x:v>0</x:v>
      </x:c>
      <x:c r="O159" s="492" t="n">
        <x:f>L159-M159-N159</x:f>
        <x:v>122.55</x:v>
      </x:c>
      <x:c r="P159" s="492" t="n">
        <x:f>G159*K159*(1-J159)</x:f>
        <x:v>48</x:v>
      </x:c>
      <x:c r="Q159" s="492" t="n">
        <x:f>O159-P159</x:f>
        <x:v>74.55</x:v>
      </x:c>
      <x:c r="R159" s="490" t="n">
        <x:f>IF(O159=0,0,Q159/O159)</x:f>
        <x:v>0.6083231334149327</x:v>
      </x:c>
      <x:c r="S159" s="488" t="str">
        <x:f>IF(J159=1,"退款",IF(I159&gt;=0.2,"高折扣","正常"))</x:f>
        <x:v>正常</x:v>
      </x:c>
    </x:row>
    <x:row r="160">
      <x:c r="A160" s="486" t="n">
        <x:f>'原始订单'!A160</x:f>
        <x:v>46212</x:v>
      </x:c>
      <x:c r="B160" s="487" t="n">
        <x:f>DATE(YEAR(A160),MONTH(A160),1)</x:f>
        <x:v>46204</x:v>
      </x:c>
      <x:c r="C160" s="488" t="str">
        <x:f>'原始订单'!B160</x:f>
        <x:v>D20260156</x:v>
      </x:c>
      <x:c r="D160" s="488" t="str">
        <x:f>'原始订单'!C160</x:f>
        <x:v>C1094</x:v>
      </x:c>
      <x:c r="E160" s="488" t="str">
        <x:f>'原始订单'!D160</x:f>
        <x:v>自然搜索</x:v>
      </x:c>
      <x:c r="F160" s="488" t="str">
        <x:f>'原始订单'!E160</x:f>
        <x:v>轻量旅行杯</x:v>
      </x:c>
      <x:c r="G160" s="489" t="n">
        <x:f>'原始订单'!F160</x:f>
        <x:v>1</x:v>
      </x:c>
      <x:c r="H160" s="489" t="n">
        <x:f>'原始订单'!G160</x:f>
        <x:v>129</x:v>
      </x:c>
      <x:c r="I160" s="490" t="n">
        <x:f>'原始订单'!H160</x:f>
        <x:v>0</x:v>
      </x:c>
      <x:c r="J160" s="491" t="n">
        <x:f>'原始订单'!I160</x:f>
        <x:v>0</x:v>
      </x:c>
      <x:c r="K160" s="492" t="n">
        <x:f>'原始订单'!J160</x:f>
        <x:v>48</x:v>
      </x:c>
      <x:c r="L160" s="492" t="n">
        <x:f>G160*H160</x:f>
        <x:v>129</x:v>
      </x:c>
      <x:c r="M160" s="492" t="n">
        <x:f>L160*I160</x:f>
        <x:v>0</x:v>
      </x:c>
      <x:c r="N160" s="492" t="n">
        <x:f>(L160-M160)*J160</x:f>
        <x:v>0</x:v>
      </x:c>
      <x:c r="O160" s="492" t="n">
        <x:f>L160-M160-N160</x:f>
        <x:v>129</x:v>
      </x:c>
      <x:c r="P160" s="492" t="n">
        <x:f>G160*K160*(1-J160)</x:f>
        <x:v>48</x:v>
      </x:c>
      <x:c r="Q160" s="492" t="n">
        <x:f>O160-P160</x:f>
        <x:v>81</x:v>
      </x:c>
      <x:c r="R160" s="490" t="n">
        <x:f>IF(O160=0,0,Q160/O160)</x:f>
        <x:v>0.627906976744186</x:v>
      </x:c>
      <x:c r="S160" s="488" t="str">
        <x:f>IF(J160=1,"退款",IF(I160&gt;=0.2,"高折扣","正常"))</x:f>
        <x:v>正常</x:v>
      </x:c>
    </x:row>
    <x:row r="161">
      <x:c r="A161" s="486" t="n">
        <x:f>'原始订单'!A161</x:f>
        <x:v>46212</x:v>
      </x:c>
      <x:c r="B161" s="487" t="n">
        <x:f>DATE(YEAR(A161),MONTH(A161),1)</x:f>
        <x:v>46204</x:v>
      </x:c>
      <x:c r="C161" s="488" t="str">
        <x:f>'原始订单'!B161</x:f>
        <x:v>D20260157</x:v>
      </x:c>
      <x:c r="D161" s="488" t="str">
        <x:f>'原始订单'!C161</x:f>
        <x:v>C1149</x:v>
      </x:c>
      <x:c r="E161" s="488" t="str">
        <x:f>'原始订单'!D161</x:f>
        <x:v>自然搜索</x:v>
      </x:c>
      <x:c r="F161" s="488" t="str">
        <x:f>'原始订单'!E161</x:f>
        <x:v>桌面收纳架</x:v>
      </x:c>
      <x:c r="G161" s="489" t="n">
        <x:f>'原始订单'!F161</x:f>
        <x:v>1</x:v>
      </x:c>
      <x:c r="H161" s="489" t="n">
        <x:f>'原始订单'!G161</x:f>
        <x:v>89</x:v>
      </x:c>
      <x:c r="I161" s="490" t="n">
        <x:f>'原始订单'!H161</x:f>
        <x:v>0.1</x:v>
      </x:c>
      <x:c r="J161" s="491" t="n">
        <x:f>'原始订单'!I161</x:f>
        <x:v>0</x:v>
      </x:c>
      <x:c r="K161" s="492" t="n">
        <x:f>'原始订单'!J161</x:f>
        <x:v>32</x:v>
      </x:c>
      <x:c r="L161" s="492" t="n">
        <x:f>G161*H161</x:f>
        <x:v>89</x:v>
      </x:c>
      <x:c r="M161" s="492" t="n">
        <x:f>L161*I161</x:f>
        <x:v>8.9</x:v>
      </x:c>
      <x:c r="N161" s="492" t="n">
        <x:f>(L161-M161)*J161</x:f>
        <x:v>0</x:v>
      </x:c>
      <x:c r="O161" s="492" t="n">
        <x:f>L161-M161-N161</x:f>
        <x:v>80.1</x:v>
      </x:c>
      <x:c r="P161" s="492" t="n">
        <x:f>G161*K161*(1-J161)</x:f>
        <x:v>32</x:v>
      </x:c>
      <x:c r="Q161" s="492" t="n">
        <x:f>O161-P161</x:f>
        <x:v>48.099999999999994</x:v>
      </x:c>
      <x:c r="R161" s="490" t="n">
        <x:f>IF(O161=0,0,Q161/O161)</x:f>
        <x:v>0.6004993757802747</x:v>
      </x:c>
      <x:c r="S161" s="488" t="str">
        <x:f>IF(J161=1,"退款",IF(I161&gt;=0.2,"高折扣","正常"))</x:f>
        <x:v>正常</x:v>
      </x:c>
    </x:row>
    <x:row r="162">
      <x:c r="A162" s="486" t="n">
        <x:f>'原始订单'!A162</x:f>
        <x:v>46212</x:v>
      </x:c>
      <x:c r="B162" s="487" t="n">
        <x:f>DATE(YEAR(A162),MONTH(A162),1)</x:f>
        <x:v>46204</x:v>
      </x:c>
      <x:c r="C162" s="488" t="str">
        <x:f>'原始订单'!B162</x:f>
        <x:v>D20260158</x:v>
      </x:c>
      <x:c r="D162" s="488" t="str">
        <x:f>'原始订单'!C162</x:f>
        <x:v>C1010</x:v>
      </x:c>
      <x:c r="E162" s="488" t="str">
        <x:f>'原始订单'!D162</x:f>
        <x:v>抖音广告</x:v>
      </x:c>
      <x:c r="F162" s="488" t="str">
        <x:f>'原始订单'!E162</x:f>
        <x:v>便携补光灯</x:v>
      </x:c>
      <x:c r="G162" s="489" t="n">
        <x:f>'原始订单'!F162</x:f>
        <x:v>2</x:v>
      </x:c>
      <x:c r="H162" s="489" t="n">
        <x:f>'原始订单'!G162</x:f>
        <x:v>159</x:v>
      </x:c>
      <x:c r="I162" s="490" t="n">
        <x:f>'原始订单'!H162</x:f>
        <x:v>0.05</x:v>
      </x:c>
      <x:c r="J162" s="491" t="n">
        <x:f>'原始订单'!I162</x:f>
        <x:v>0</x:v>
      </x:c>
      <x:c r="K162" s="492" t="n">
        <x:f>'原始订单'!J162</x:f>
        <x:v>72</x:v>
      </x:c>
      <x:c r="L162" s="492" t="n">
        <x:f>G162*H162</x:f>
        <x:v>318</x:v>
      </x:c>
      <x:c r="M162" s="492" t="n">
        <x:f>L162*I162</x:f>
        <x:v>15.9</x:v>
      </x:c>
      <x:c r="N162" s="492" t="n">
        <x:f>(L162-M162)*J162</x:f>
        <x:v>0</x:v>
      </x:c>
      <x:c r="O162" s="492" t="n">
        <x:f>L162-M162-N162</x:f>
        <x:v>302.1</x:v>
      </x:c>
      <x:c r="P162" s="492" t="n">
        <x:f>G162*K162*(1-J162)</x:f>
        <x:v>144</x:v>
      </x:c>
      <x:c r="Q162" s="492" t="n">
        <x:f>O162-P162</x:f>
        <x:v>158.10000000000002</x:v>
      </x:c>
      <x:c r="R162" s="490" t="n">
        <x:f>IF(O162=0,0,Q162/O162)</x:f>
        <x:v>0.5233366434955313</x:v>
      </x:c>
      <x:c r="S162" s="488" t="str">
        <x:f>IF(J162=1,"退款",IF(I162&gt;=0.2,"高折扣","正常"))</x:f>
        <x:v>正常</x:v>
      </x:c>
    </x:row>
    <x:row r="163">
      <x:c r="A163" s="486" t="n">
        <x:f>'原始订单'!A163</x:f>
        <x:v>46213</x:v>
      </x:c>
      <x:c r="B163" s="487" t="n">
        <x:f>DATE(YEAR(A163),MONTH(A163),1)</x:f>
        <x:v>46204</x:v>
      </x:c>
      <x:c r="C163" s="488" t="str">
        <x:f>'原始订单'!B163</x:f>
        <x:v>D20260159</x:v>
      </x:c>
      <x:c r="D163" s="488" t="str">
        <x:f>'原始订单'!C163</x:f>
        <x:v>C1139</x:v>
      </x:c>
      <x:c r="E163" s="488" t="str">
        <x:f>'原始订单'!D163</x:f>
        <x:v>小红书</x:v>
      </x:c>
      <x:c r="F163" s="488" t="str">
        <x:f>'原始订单'!E163</x:f>
        <x:v>无线标签机</x:v>
      </x:c>
      <x:c r="G163" s="489" t="n">
        <x:f>'原始订单'!F163</x:f>
        <x:v>1</x:v>
      </x:c>
      <x:c r="H163" s="489" t="n">
        <x:f>'原始订单'!G163</x:f>
        <x:v>239</x:v>
      </x:c>
      <x:c r="I163" s="490" t="n">
        <x:f>'原始订单'!H163</x:f>
        <x:v>0</x:v>
      </x:c>
      <x:c r="J163" s="491" t="n">
        <x:f>'原始订单'!I163</x:f>
        <x:v>0</x:v>
      </x:c>
      <x:c r="K163" s="492" t="n">
        <x:f>'原始订单'!J163</x:f>
        <x:v>118</x:v>
      </x:c>
      <x:c r="L163" s="492" t="n">
        <x:f>G163*H163</x:f>
        <x:v>239</x:v>
      </x:c>
      <x:c r="M163" s="492" t="n">
        <x:f>L163*I163</x:f>
        <x:v>0</x:v>
      </x:c>
      <x:c r="N163" s="492" t="n">
        <x:f>(L163-M163)*J163</x:f>
        <x:v>0</x:v>
      </x:c>
      <x:c r="O163" s="492" t="n">
        <x:f>L163-M163-N163</x:f>
        <x:v>239</x:v>
      </x:c>
      <x:c r="P163" s="492" t="n">
        <x:f>G163*K163*(1-J163)</x:f>
        <x:v>118</x:v>
      </x:c>
      <x:c r="Q163" s="492" t="n">
        <x:f>O163-P163</x:f>
        <x:v>121</x:v>
      </x:c>
      <x:c r="R163" s="490" t="n">
        <x:f>IF(O163=0,0,Q163/O163)</x:f>
        <x:v>0.5062761506276151</x:v>
      </x:c>
      <x:c r="S163" s="488" t="str">
        <x:f>IF(J163=1,"退款",IF(I163&gt;=0.2,"高折扣","正常"))</x:f>
        <x:v>正常</x:v>
      </x:c>
    </x:row>
    <x:row r="164">
      <x:c r="A164" s="486" t="n">
        <x:f>'原始订单'!A164</x:f>
        <x:v>46213</x:v>
      </x:c>
      <x:c r="B164" s="487" t="n">
        <x:f>DATE(YEAR(A164),MONTH(A164),1)</x:f>
        <x:v>46204</x:v>
      </x:c>
      <x:c r="C164" s="488" t="str">
        <x:f>'原始订单'!B164</x:f>
        <x:v>D20260160</x:v>
      </x:c>
      <x:c r="D164" s="488" t="str">
        <x:f>'原始订单'!C164</x:f>
        <x:v>C1144</x:v>
      </x:c>
      <x:c r="E164" s="488" t="str">
        <x:f>'原始订单'!D164</x:f>
        <x:v>小红书</x:v>
      </x:c>
      <x:c r="F164" s="488" t="str">
        <x:f>'原始订单'!E164</x:f>
        <x:v>无线标签机</x:v>
      </x:c>
      <x:c r="G164" s="489" t="n">
        <x:f>'原始订单'!F164</x:f>
        <x:v>1</x:v>
      </x:c>
      <x:c r="H164" s="489" t="n">
        <x:f>'原始订单'!G164</x:f>
        <x:v>239</x:v>
      </x:c>
      <x:c r="I164" s="490" t="n">
        <x:f>'原始订单'!H164</x:f>
        <x:v>0.1</x:v>
      </x:c>
      <x:c r="J164" s="491" t="n">
        <x:f>'原始订单'!I164</x:f>
        <x:v>0</x:v>
      </x:c>
      <x:c r="K164" s="492" t="n">
        <x:f>'原始订单'!J164</x:f>
        <x:v>118</x:v>
      </x:c>
      <x:c r="L164" s="492" t="n">
        <x:f>G164*H164</x:f>
        <x:v>239</x:v>
      </x:c>
      <x:c r="M164" s="492" t="n">
        <x:f>L164*I164</x:f>
        <x:v>23.900000000000002</x:v>
      </x:c>
      <x:c r="N164" s="492" t="n">
        <x:f>(L164-M164)*J164</x:f>
        <x:v>0</x:v>
      </x:c>
      <x:c r="O164" s="492" t="n">
        <x:f>L164-M164-N164</x:f>
        <x:v>215.1</x:v>
      </x:c>
      <x:c r="P164" s="492" t="n">
        <x:f>G164*K164*(1-J164)</x:f>
        <x:v>118</x:v>
      </x:c>
      <x:c r="Q164" s="492" t="n">
        <x:f>O164-P164</x:f>
        <x:v>97.1</x:v>
      </x:c>
      <x:c r="R164" s="490" t="n">
        <x:f>IF(O164=0,0,Q164/O164)</x:f>
        <x:v>0.4514179451417945</x:v>
      </x:c>
      <x:c r="S164" s="488" t="str">
        <x:f>IF(J164=1,"退款",IF(I164&gt;=0.2,"高折扣","正常"))</x:f>
        <x:v>正常</x:v>
      </x:c>
    </x:row>
    <x:row r="165">
      <x:c r="A165" s="486" t="n">
        <x:f>'原始订单'!A165</x:f>
        <x:v>46213</x:v>
      </x:c>
      <x:c r="B165" s="487" t="n">
        <x:f>DATE(YEAR(A165),MONTH(A165),1)</x:f>
        <x:v>46204</x:v>
      </x:c>
      <x:c r="C165" s="488" t="str">
        <x:f>'原始订单'!B165</x:f>
        <x:v>D20260161</x:v>
      </x:c>
      <x:c r="D165" s="488" t="str">
        <x:f>'原始订单'!C165</x:f>
        <x:v>C1126</x:v>
      </x:c>
      <x:c r="E165" s="488" t="str">
        <x:f>'原始订单'!D165</x:f>
        <x:v>抖音广告</x:v>
      </x:c>
      <x:c r="F165" s="488" t="str">
        <x:f>'原始订单'!E165</x:f>
        <x:v>便携补光灯</x:v>
      </x:c>
      <x:c r="G165" s="489" t="n">
        <x:f>'原始订单'!F165</x:f>
        <x:v>3</x:v>
      </x:c>
      <x:c r="H165" s="489" t="n">
        <x:f>'原始订单'!G165</x:f>
        <x:v>159</x:v>
      </x:c>
      <x:c r="I165" s="490" t="n">
        <x:f>'原始订单'!H165</x:f>
        <x:v>0</x:v>
      </x:c>
      <x:c r="J165" s="491" t="n">
        <x:f>'原始订单'!I165</x:f>
        <x:v>0</x:v>
      </x:c>
      <x:c r="K165" s="492" t="n">
        <x:f>'原始订单'!J165</x:f>
        <x:v>72</x:v>
      </x:c>
      <x:c r="L165" s="492" t="n">
        <x:f>G165*H165</x:f>
        <x:v>477</x:v>
      </x:c>
      <x:c r="M165" s="492" t="n">
        <x:f>L165*I165</x:f>
        <x:v>0</x:v>
      </x:c>
      <x:c r="N165" s="492" t="n">
        <x:f>(L165-M165)*J165</x:f>
        <x:v>0</x:v>
      </x:c>
      <x:c r="O165" s="492" t="n">
        <x:f>L165-M165-N165</x:f>
        <x:v>477</x:v>
      </x:c>
      <x:c r="P165" s="492" t="n">
        <x:f>G165*K165*(1-J165)</x:f>
        <x:v>216</x:v>
      </x:c>
      <x:c r="Q165" s="492" t="n">
        <x:f>O165-P165</x:f>
        <x:v>261</x:v>
      </x:c>
      <x:c r="R165" s="490" t="n">
        <x:f>IF(O165=0,0,Q165/O165)</x:f>
        <x:v>0.5471698113207547</x:v>
      </x:c>
      <x:c r="S165" s="488" t="str">
        <x:f>IF(J165=1,"退款",IF(I165&gt;=0.2,"高折扣","正常"))</x:f>
        <x:v>正常</x:v>
      </x:c>
    </x:row>
    <x:row r="166">
      <x:c r="A166" s="486" t="n">
        <x:f>'原始订单'!A166</x:f>
        <x:v>46213</x:v>
      </x:c>
      <x:c r="B166" s="487" t="n">
        <x:f>DATE(YEAR(A166),MONTH(A166),1)</x:f>
        <x:v>46204</x:v>
      </x:c>
      <x:c r="C166" s="488" t="str">
        <x:f>'原始订单'!B166</x:f>
        <x:v>D20260162</x:v>
      </x:c>
      <x:c r="D166" s="488" t="str">
        <x:f>'原始订单'!C166</x:f>
        <x:v>C1024</x:v>
      </x:c>
      <x:c r="E166" s="488" t="str">
        <x:f>'原始订单'!D166</x:f>
        <x:v>小红书</x:v>
      </x:c>
      <x:c r="F166" s="488" t="str">
        <x:f>'原始订单'!E166</x:f>
        <x:v>便携补光灯</x:v>
      </x:c>
      <x:c r="G166" s="489" t="n">
        <x:f>'原始订单'!F166</x:f>
        <x:v>2</x:v>
      </x:c>
      <x:c r="H166" s="489" t="n">
        <x:f>'原始订单'!G166</x:f>
        <x:v>159</x:v>
      </x:c>
      <x:c r="I166" s="490" t="n">
        <x:f>'原始订单'!H166</x:f>
        <x:v>0.2</x:v>
      </x:c>
      <x:c r="J166" s="491" t="n">
        <x:f>'原始订单'!I166</x:f>
        <x:v>0</x:v>
      </x:c>
      <x:c r="K166" s="492" t="n">
        <x:f>'原始订单'!J166</x:f>
        <x:v>72</x:v>
      </x:c>
      <x:c r="L166" s="492" t="n">
        <x:f>G166*H166</x:f>
        <x:v>318</x:v>
      </x:c>
      <x:c r="M166" s="492" t="n">
        <x:f>L166*I166</x:f>
        <x:v>63.6</x:v>
      </x:c>
      <x:c r="N166" s="492" t="n">
        <x:f>(L166-M166)*J166</x:f>
        <x:v>0</x:v>
      </x:c>
      <x:c r="O166" s="492" t="n">
        <x:f>L166-M166-N166</x:f>
        <x:v>254.4</x:v>
      </x:c>
      <x:c r="P166" s="492" t="n">
        <x:f>G166*K166*(1-J166)</x:f>
        <x:v>144</x:v>
      </x:c>
      <x:c r="Q166" s="492" t="n">
        <x:f>O166-P166</x:f>
        <x:v>110.4</x:v>
      </x:c>
      <x:c r="R166" s="490" t="n">
        <x:f>IF(O166=0,0,Q166/O166)</x:f>
        <x:v>0.4339622641509434</x:v>
      </x:c>
      <x:c r="S166" s="488" t="str">
        <x:f>IF(J166=1,"退款",IF(I166&gt;=0.2,"高折扣","正常"))</x:f>
        <x:v>高折扣</x:v>
      </x:c>
    </x:row>
    <x:row r="167">
      <x:c r="A167" s="486" t="n">
        <x:f>'原始订单'!A167</x:f>
        <x:v>46214</x:v>
      </x:c>
      <x:c r="B167" s="487" t="n">
        <x:f>DATE(YEAR(A167),MONTH(A167),1)</x:f>
        <x:v>46204</x:v>
      </x:c>
      <x:c r="C167" s="488" t="str">
        <x:f>'原始订单'!B167</x:f>
        <x:v>D20260163</x:v>
      </x:c>
      <x:c r="D167" s="488" t="str">
        <x:f>'原始订单'!C167</x:f>
        <x:v>C1040</x:v>
      </x:c>
      <x:c r="E167" s="488" t="str">
        <x:f>'原始订单'!D167</x:f>
        <x:v>小红书</x:v>
      </x:c>
      <x:c r="F167" s="488" t="str">
        <x:f>'原始订单'!E167</x:f>
        <x:v>桌面收纳架</x:v>
      </x:c>
      <x:c r="G167" s="489" t="n">
        <x:f>'原始订单'!F167</x:f>
        <x:v>1</x:v>
      </x:c>
      <x:c r="H167" s="489" t="n">
        <x:f>'原始订单'!G167</x:f>
        <x:v>89</x:v>
      </x:c>
      <x:c r="I167" s="490" t="n">
        <x:f>'原始订单'!H167</x:f>
        <x:v>0.05</x:v>
      </x:c>
      <x:c r="J167" s="491" t="n">
        <x:f>'原始订单'!I167</x:f>
        <x:v>0</x:v>
      </x:c>
      <x:c r="K167" s="492" t="n">
        <x:f>'原始订单'!J167</x:f>
        <x:v>32</x:v>
      </x:c>
      <x:c r="L167" s="492" t="n">
        <x:f>G167*H167</x:f>
        <x:v>89</x:v>
      </x:c>
      <x:c r="M167" s="492" t="n">
        <x:f>L167*I167</x:f>
        <x:v>4.45</x:v>
      </x:c>
      <x:c r="N167" s="492" t="n">
        <x:f>(L167-M167)*J167</x:f>
        <x:v>0</x:v>
      </x:c>
      <x:c r="O167" s="492" t="n">
        <x:f>L167-M167-N167</x:f>
        <x:v>84.55</x:v>
      </x:c>
      <x:c r="P167" s="492" t="n">
        <x:f>G167*K167*(1-J167)</x:f>
        <x:v>32</x:v>
      </x:c>
      <x:c r="Q167" s="492" t="n">
        <x:f>O167-P167</x:f>
        <x:v>52.55</x:v>
      </x:c>
      <x:c r="R167" s="490" t="n">
        <x:f>IF(O167=0,0,Q167/O167)</x:f>
        <x:v>0.6215257244234181</x:v>
      </x:c>
      <x:c r="S167" s="488" t="str">
        <x:f>IF(J167=1,"退款",IF(I167&gt;=0.2,"高折扣","正常"))</x:f>
        <x:v>正常</x:v>
      </x:c>
    </x:row>
    <x:row r="168">
      <x:c r="A168" s="486" t="n">
        <x:f>'原始订单'!A168</x:f>
        <x:v>46215</x:v>
      </x:c>
      <x:c r="B168" s="487" t="n">
        <x:f>DATE(YEAR(A168),MONTH(A168),1)</x:f>
        <x:v>46204</x:v>
      </x:c>
      <x:c r="C168" s="488" t="str">
        <x:f>'原始订单'!B168</x:f>
        <x:v>D20260164</x:v>
      </x:c>
      <x:c r="D168" s="488" t="str">
        <x:f>'原始订单'!C168</x:f>
        <x:v>C1098</x:v>
      </x:c>
      <x:c r="E168" s="488" t="str">
        <x:f>'原始订单'!D168</x:f>
        <x:v>自然搜索</x:v>
      </x:c>
      <x:c r="F168" s="488" t="str">
        <x:f>'原始订单'!E168</x:f>
        <x:v>桌面收纳架</x:v>
      </x:c>
      <x:c r="G168" s="489" t="n">
        <x:f>'原始订单'!F168</x:f>
        <x:v>2</x:v>
      </x:c>
      <x:c r="H168" s="489" t="n">
        <x:f>'原始订单'!G168</x:f>
        <x:v>89</x:v>
      </x:c>
      <x:c r="I168" s="490" t="n">
        <x:f>'原始订单'!H168</x:f>
        <x:v>0.05</x:v>
      </x:c>
      <x:c r="J168" s="491" t="n">
        <x:f>'原始订单'!I168</x:f>
        <x:v>0</x:v>
      </x:c>
      <x:c r="K168" s="492" t="n">
        <x:f>'原始订单'!J168</x:f>
        <x:v>32</x:v>
      </x:c>
      <x:c r="L168" s="492" t="n">
        <x:f>G168*H168</x:f>
        <x:v>178</x:v>
      </x:c>
      <x:c r="M168" s="492" t="n">
        <x:f>L168*I168</x:f>
        <x:v>8.9</x:v>
      </x:c>
      <x:c r="N168" s="492" t="n">
        <x:f>(L168-M168)*J168</x:f>
        <x:v>0</x:v>
      </x:c>
      <x:c r="O168" s="492" t="n">
        <x:f>L168-M168-N168</x:f>
        <x:v>169.1</x:v>
      </x:c>
      <x:c r="P168" s="492" t="n">
        <x:f>G168*K168*(1-J168)</x:f>
        <x:v>64</x:v>
      </x:c>
      <x:c r="Q168" s="492" t="n">
        <x:f>O168-P168</x:f>
        <x:v>105.1</x:v>
      </x:c>
      <x:c r="R168" s="490" t="n">
        <x:f>IF(O168=0,0,Q168/O168)</x:f>
        <x:v>0.6215257244234181</x:v>
      </x:c>
      <x:c r="S168" s="488" t="str">
        <x:f>IF(J168=1,"退款",IF(I168&gt;=0.2,"高折扣","正常"))</x:f>
        <x:v>正常</x:v>
      </x:c>
    </x:row>
    <x:row r="169">
      <x:c r="A169" s="486" t="n">
        <x:f>'原始订单'!A169</x:f>
        <x:v>46215</x:v>
      </x:c>
      <x:c r="B169" s="487" t="n">
        <x:f>DATE(YEAR(A169),MONTH(A169),1)</x:f>
        <x:v>46204</x:v>
      </x:c>
      <x:c r="C169" s="488" t="str">
        <x:f>'原始订单'!B169</x:f>
        <x:v>D20260165</x:v>
      </x:c>
      <x:c r="D169" s="488" t="str">
        <x:f>'原始订单'!C169</x:f>
        <x:v>C1134</x:v>
      </x:c>
      <x:c r="E169" s="488" t="str">
        <x:f>'原始订单'!D169</x:f>
        <x:v>小红书</x:v>
      </x:c>
      <x:c r="F169" s="488" t="str">
        <x:f>'原始订单'!E169</x:f>
        <x:v>桌面收纳架</x:v>
      </x:c>
      <x:c r="G169" s="489" t="n">
        <x:f>'原始订单'!F169</x:f>
        <x:v>2</x:v>
      </x:c>
      <x:c r="H169" s="489" t="n">
        <x:f>'原始订单'!G169</x:f>
        <x:v>89</x:v>
      </x:c>
      <x:c r="I169" s="490" t="n">
        <x:f>'原始订单'!H169</x:f>
        <x:v>0</x:v>
      </x:c>
      <x:c r="J169" s="491" t="n">
        <x:f>'原始订单'!I169</x:f>
        <x:v>0</x:v>
      </x:c>
      <x:c r="K169" s="492" t="n">
        <x:f>'原始订单'!J169</x:f>
        <x:v>32</x:v>
      </x:c>
      <x:c r="L169" s="492" t="n">
        <x:f>G169*H169</x:f>
        <x:v>178</x:v>
      </x:c>
      <x:c r="M169" s="492" t="n">
        <x:f>L169*I169</x:f>
        <x:v>0</x:v>
      </x:c>
      <x:c r="N169" s="492" t="n">
        <x:f>(L169-M169)*J169</x:f>
        <x:v>0</x:v>
      </x:c>
      <x:c r="O169" s="492" t="n">
        <x:f>L169-M169-N169</x:f>
        <x:v>178</x:v>
      </x:c>
      <x:c r="P169" s="492" t="n">
        <x:f>G169*K169*(1-J169)</x:f>
        <x:v>64</x:v>
      </x:c>
      <x:c r="Q169" s="492" t="n">
        <x:f>O169-P169</x:f>
        <x:v>114</x:v>
      </x:c>
      <x:c r="R169" s="490" t="n">
        <x:f>IF(O169=0,0,Q169/O169)</x:f>
        <x:v>0.6404494382022472</x:v>
      </x:c>
      <x:c r="S169" s="488" t="str">
        <x:f>IF(J169=1,"退款",IF(I169&gt;=0.2,"高折扣","正常"))</x:f>
        <x:v>正常</x:v>
      </x:c>
    </x:row>
    <x:row r="170">
      <x:c r="A170" s="486" t="n">
        <x:f>'原始订单'!A170</x:f>
        <x:v>46216</x:v>
      </x:c>
      <x:c r="B170" s="487" t="n">
        <x:f>DATE(YEAR(A170),MONTH(A170),1)</x:f>
        <x:v>46204</x:v>
      </x:c>
      <x:c r="C170" s="488" t="str">
        <x:f>'原始订单'!B170</x:f>
        <x:v>D20260166</x:v>
      </x:c>
      <x:c r="D170" s="488" t="str">
        <x:f>'原始订单'!C170</x:f>
        <x:v>C1095</x:v>
      </x:c>
      <x:c r="E170" s="488" t="str">
        <x:f>'原始订单'!D170</x:f>
        <x:v>小红书</x:v>
      </x:c>
      <x:c r="F170" s="488" t="str">
        <x:f>'原始订单'!E170</x:f>
        <x:v>轻量旅行杯</x:v>
      </x:c>
      <x:c r="G170" s="489" t="n">
        <x:f>'原始订单'!F170</x:f>
        <x:v>1</x:v>
      </x:c>
      <x:c r="H170" s="489" t="n">
        <x:f>'原始订单'!G170</x:f>
        <x:v>129</x:v>
      </x:c>
      <x:c r="I170" s="490" t="n">
        <x:f>'原始订单'!H170</x:f>
        <x:v>0.05</x:v>
      </x:c>
      <x:c r="J170" s="491" t="n">
        <x:f>'原始订单'!I170</x:f>
        <x:v>0</x:v>
      </x:c>
      <x:c r="K170" s="492" t="n">
        <x:f>'原始订单'!J170</x:f>
        <x:v>48</x:v>
      </x:c>
      <x:c r="L170" s="492" t="n">
        <x:f>G170*H170</x:f>
        <x:v>129</x:v>
      </x:c>
      <x:c r="M170" s="492" t="n">
        <x:f>L170*I170</x:f>
        <x:v>6.45</x:v>
      </x:c>
      <x:c r="N170" s="492" t="n">
        <x:f>(L170-M170)*J170</x:f>
        <x:v>0</x:v>
      </x:c>
      <x:c r="O170" s="492" t="n">
        <x:f>L170-M170-N170</x:f>
        <x:v>122.55</x:v>
      </x:c>
      <x:c r="P170" s="492" t="n">
        <x:f>G170*K170*(1-J170)</x:f>
        <x:v>48</x:v>
      </x:c>
      <x:c r="Q170" s="492" t="n">
        <x:f>O170-P170</x:f>
        <x:v>74.55</x:v>
      </x:c>
      <x:c r="R170" s="490" t="n">
        <x:f>IF(O170=0,0,Q170/O170)</x:f>
        <x:v>0.6083231334149327</x:v>
      </x:c>
      <x:c r="S170" s="488" t="str">
        <x:f>IF(J170=1,"退款",IF(I170&gt;=0.2,"高折扣","正常"))</x:f>
        <x:v>正常</x:v>
      </x:c>
    </x:row>
    <x:row r="171">
      <x:c r="A171" s="486" t="n">
        <x:f>'原始订单'!A171</x:f>
        <x:v>46216</x:v>
      </x:c>
      <x:c r="B171" s="487" t="n">
        <x:f>DATE(YEAR(A171),MONTH(A171),1)</x:f>
        <x:v>46204</x:v>
      </x:c>
      <x:c r="C171" s="488" t="str">
        <x:f>'原始订单'!B171</x:f>
        <x:v>D20260167</x:v>
      </x:c>
      <x:c r="D171" s="488" t="str">
        <x:f>'原始订单'!C171</x:f>
        <x:v>C1090</x:v>
      </x:c>
      <x:c r="E171" s="488" t="str">
        <x:f>'原始订单'!D171</x:f>
        <x:v>小红书</x:v>
      </x:c>
      <x:c r="F171" s="488" t="str">
        <x:f>'原始订单'!E171</x:f>
        <x:v>无线标签机</x:v>
      </x:c>
      <x:c r="G171" s="489" t="n">
        <x:f>'原始订单'!F171</x:f>
        <x:v>1</x:v>
      </x:c>
      <x:c r="H171" s="489" t="n">
        <x:f>'原始订单'!G171</x:f>
        <x:v>239</x:v>
      </x:c>
      <x:c r="I171" s="490" t="n">
        <x:f>'原始订单'!H171</x:f>
        <x:v>0</x:v>
      </x:c>
      <x:c r="J171" s="491" t="n">
        <x:f>'原始订单'!I171</x:f>
        <x:v>0</x:v>
      </x:c>
      <x:c r="K171" s="492" t="n">
        <x:f>'原始订单'!J171</x:f>
        <x:v>118</x:v>
      </x:c>
      <x:c r="L171" s="492" t="n">
        <x:f>G171*H171</x:f>
        <x:v>239</x:v>
      </x:c>
      <x:c r="M171" s="492" t="n">
        <x:f>L171*I171</x:f>
        <x:v>0</x:v>
      </x:c>
      <x:c r="N171" s="492" t="n">
        <x:f>(L171-M171)*J171</x:f>
        <x:v>0</x:v>
      </x:c>
      <x:c r="O171" s="492" t="n">
        <x:f>L171-M171-N171</x:f>
        <x:v>239</x:v>
      </x:c>
      <x:c r="P171" s="492" t="n">
        <x:f>G171*K171*(1-J171)</x:f>
        <x:v>118</x:v>
      </x:c>
      <x:c r="Q171" s="492" t="n">
        <x:f>O171-P171</x:f>
        <x:v>121</x:v>
      </x:c>
      <x:c r="R171" s="490" t="n">
        <x:f>IF(O171=0,0,Q171/O171)</x:f>
        <x:v>0.5062761506276151</x:v>
      </x:c>
      <x:c r="S171" s="488" t="str">
        <x:f>IF(J171=1,"退款",IF(I171&gt;=0.2,"高折扣","正常"))</x:f>
        <x:v>正常</x:v>
      </x:c>
    </x:row>
    <x:row r="172">
      <x:c r="A172" s="486" t="n">
        <x:f>'原始订单'!A172</x:f>
        <x:v>46216</x:v>
      </x:c>
      <x:c r="B172" s="487" t="n">
        <x:f>DATE(YEAR(A172),MONTH(A172),1)</x:f>
        <x:v>46204</x:v>
      </x:c>
      <x:c r="C172" s="488" t="str">
        <x:f>'原始订单'!B172</x:f>
        <x:v>D20260168</x:v>
      </x:c>
      <x:c r="D172" s="488" t="str">
        <x:f>'原始订单'!C172</x:f>
        <x:v>C1019</x:v>
      </x:c>
      <x:c r="E172" s="488" t="str">
        <x:f>'原始订单'!D172</x:f>
        <x:v>老客复购</x:v>
      </x:c>
      <x:c r="F172" s="488" t="str">
        <x:f>'原始订单'!E172</x:f>
        <x:v>轻量旅行杯</x:v>
      </x:c>
      <x:c r="G172" s="489" t="n">
        <x:f>'原始订单'!F172</x:f>
        <x:v>1</x:v>
      </x:c>
      <x:c r="H172" s="489" t="n">
        <x:f>'原始订单'!G172</x:f>
        <x:v>129</x:v>
      </x:c>
      <x:c r="I172" s="490" t="n">
        <x:f>'原始订单'!H172</x:f>
        <x:v>0.05</x:v>
      </x:c>
      <x:c r="J172" s="491" t="n">
        <x:f>'原始订单'!I172</x:f>
        <x:v>0</x:v>
      </x:c>
      <x:c r="K172" s="492" t="n">
        <x:f>'原始订单'!J172</x:f>
        <x:v>48</x:v>
      </x:c>
      <x:c r="L172" s="492" t="n">
        <x:f>G172*H172</x:f>
        <x:v>129</x:v>
      </x:c>
      <x:c r="M172" s="492" t="n">
        <x:f>L172*I172</x:f>
        <x:v>6.45</x:v>
      </x:c>
      <x:c r="N172" s="492" t="n">
        <x:f>(L172-M172)*J172</x:f>
        <x:v>0</x:v>
      </x:c>
      <x:c r="O172" s="492" t="n">
        <x:f>L172-M172-N172</x:f>
        <x:v>122.55</x:v>
      </x:c>
      <x:c r="P172" s="492" t="n">
        <x:f>G172*K172*(1-J172)</x:f>
        <x:v>48</x:v>
      </x:c>
      <x:c r="Q172" s="492" t="n">
        <x:f>O172-P172</x:f>
        <x:v>74.55</x:v>
      </x:c>
      <x:c r="R172" s="490" t="n">
        <x:f>IF(O172=0,0,Q172/O172)</x:f>
        <x:v>0.6083231334149327</x:v>
      </x:c>
      <x:c r="S172" s="488" t="str">
        <x:f>IF(J172=1,"退款",IF(I172&gt;=0.2,"高折扣","正常"))</x:f>
        <x:v>正常</x:v>
      </x:c>
    </x:row>
    <x:row r="173">
      <x:c r="A173" s="486" t="n">
        <x:f>'原始订单'!A173</x:f>
        <x:v>46216</x:v>
      </x:c>
      <x:c r="B173" s="487" t="n">
        <x:f>DATE(YEAR(A173),MONTH(A173),1)</x:f>
        <x:v>46204</x:v>
      </x:c>
      <x:c r="C173" s="488" t="str">
        <x:f>'原始订单'!B173</x:f>
        <x:v>D20260169</x:v>
      </x:c>
      <x:c r="D173" s="488" t="str">
        <x:f>'原始订单'!C173</x:f>
        <x:v>C1072</x:v>
      </x:c>
      <x:c r="E173" s="488" t="str">
        <x:f>'原始订单'!D173</x:f>
        <x:v>抖音广告</x:v>
      </x:c>
      <x:c r="F173" s="488" t="str">
        <x:f>'原始订单'!E173</x:f>
        <x:v>轻量旅行杯</x:v>
      </x:c>
      <x:c r="G173" s="489" t="n">
        <x:f>'原始订单'!F173</x:f>
        <x:v>2</x:v>
      </x:c>
      <x:c r="H173" s="489" t="n">
        <x:f>'原始订单'!G173</x:f>
        <x:v>129</x:v>
      </x:c>
      <x:c r="I173" s="490" t="n">
        <x:f>'原始订单'!H173</x:f>
        <x:v>0</x:v>
      </x:c>
      <x:c r="J173" s="491" t="n">
        <x:f>'原始订单'!I173</x:f>
        <x:v>0</x:v>
      </x:c>
      <x:c r="K173" s="492" t="n">
        <x:f>'原始订单'!J173</x:f>
        <x:v>48</x:v>
      </x:c>
      <x:c r="L173" s="492" t="n">
        <x:f>G173*H173</x:f>
        <x:v>258</x:v>
      </x:c>
      <x:c r="M173" s="492" t="n">
        <x:f>L173*I173</x:f>
        <x:v>0</x:v>
      </x:c>
      <x:c r="N173" s="492" t="n">
        <x:f>(L173-M173)*J173</x:f>
        <x:v>0</x:v>
      </x:c>
      <x:c r="O173" s="492" t="n">
        <x:f>L173-M173-N173</x:f>
        <x:v>258</x:v>
      </x:c>
      <x:c r="P173" s="492" t="n">
        <x:f>G173*K173*(1-J173)</x:f>
        <x:v>96</x:v>
      </x:c>
      <x:c r="Q173" s="492" t="n">
        <x:f>O173-P173</x:f>
        <x:v>162</x:v>
      </x:c>
      <x:c r="R173" s="490" t="n">
        <x:f>IF(O173=0,0,Q173/O173)</x:f>
        <x:v>0.627906976744186</x:v>
      </x:c>
      <x:c r="S173" s="488" t="str">
        <x:f>IF(J173=1,"退款",IF(I173&gt;=0.2,"高折扣","正常"))</x:f>
        <x:v>正常</x:v>
      </x:c>
    </x:row>
    <x:row r="174">
      <x:c r="A174" s="486" t="n">
        <x:f>'原始订单'!A174</x:f>
        <x:v>46217</x:v>
      </x:c>
      <x:c r="B174" s="487" t="n">
        <x:f>DATE(YEAR(A174),MONTH(A174),1)</x:f>
        <x:v>46204</x:v>
      </x:c>
      <x:c r="C174" s="488" t="str">
        <x:f>'原始订单'!B174</x:f>
        <x:v>D20260170</x:v>
      </x:c>
      <x:c r="D174" s="488" t="str">
        <x:f>'原始订单'!C174</x:f>
        <x:v>C1146</x:v>
      </x:c>
      <x:c r="E174" s="488" t="str">
        <x:f>'原始订单'!D174</x:f>
        <x:v>自然搜索</x:v>
      </x:c>
      <x:c r="F174" s="488" t="str">
        <x:f>'原始订单'!E174</x:f>
        <x:v>无线标签机</x:v>
      </x:c>
      <x:c r="G174" s="489" t="n">
        <x:f>'原始订单'!F174</x:f>
        <x:v>1</x:v>
      </x:c>
      <x:c r="H174" s="489" t="n">
        <x:f>'原始订单'!G174</x:f>
        <x:v>239</x:v>
      </x:c>
      <x:c r="I174" s="490" t="n">
        <x:f>'原始订单'!H174</x:f>
        <x:v>0</x:v>
      </x:c>
      <x:c r="J174" s="491" t="n">
        <x:f>'原始订单'!I174</x:f>
        <x:v>0</x:v>
      </x:c>
      <x:c r="K174" s="492" t="n">
        <x:f>'原始订单'!J174</x:f>
        <x:v>118</x:v>
      </x:c>
      <x:c r="L174" s="492" t="n">
        <x:f>G174*H174</x:f>
        <x:v>239</x:v>
      </x:c>
      <x:c r="M174" s="492" t="n">
        <x:f>L174*I174</x:f>
        <x:v>0</x:v>
      </x:c>
      <x:c r="N174" s="492" t="n">
        <x:f>(L174-M174)*J174</x:f>
        <x:v>0</x:v>
      </x:c>
      <x:c r="O174" s="492" t="n">
        <x:f>L174-M174-N174</x:f>
        <x:v>239</x:v>
      </x:c>
      <x:c r="P174" s="492" t="n">
        <x:f>G174*K174*(1-J174)</x:f>
        <x:v>118</x:v>
      </x:c>
      <x:c r="Q174" s="492" t="n">
        <x:f>O174-P174</x:f>
        <x:v>121</x:v>
      </x:c>
      <x:c r="R174" s="490" t="n">
        <x:f>IF(O174=0,0,Q174/O174)</x:f>
        <x:v>0.5062761506276151</x:v>
      </x:c>
      <x:c r="S174" s="488" t="str">
        <x:f>IF(J174=1,"退款",IF(I174&gt;=0.2,"高折扣","正常"))</x:f>
        <x:v>正常</x:v>
      </x:c>
    </x:row>
    <x:row r="175">
      <x:c r="A175" s="486" t="n">
        <x:f>'原始订单'!A175</x:f>
        <x:v>46217</x:v>
      </x:c>
      <x:c r="B175" s="487" t="n">
        <x:f>DATE(YEAR(A175),MONTH(A175),1)</x:f>
        <x:v>46204</x:v>
      </x:c>
      <x:c r="C175" s="488" t="str">
        <x:f>'原始订单'!B175</x:f>
        <x:v>D20260171</x:v>
      </x:c>
      <x:c r="D175" s="488" t="str">
        <x:f>'原始订单'!C175</x:f>
        <x:v>C1129</x:v>
      </x:c>
      <x:c r="E175" s="488" t="str">
        <x:f>'原始订单'!D175</x:f>
        <x:v>自然搜索</x:v>
      </x:c>
      <x:c r="F175" s="488" t="str">
        <x:f>'原始订单'!E175</x:f>
        <x:v>无线标签机</x:v>
      </x:c>
      <x:c r="G175" s="489" t="n">
        <x:f>'原始订单'!F175</x:f>
        <x:v>1</x:v>
      </x:c>
      <x:c r="H175" s="489" t="n">
        <x:f>'原始订单'!G175</x:f>
        <x:v>239</x:v>
      </x:c>
      <x:c r="I175" s="490" t="n">
        <x:f>'原始订单'!H175</x:f>
        <x:v>0.1</x:v>
      </x:c>
      <x:c r="J175" s="491" t="n">
        <x:f>'原始订单'!I175</x:f>
        <x:v>0</x:v>
      </x:c>
      <x:c r="K175" s="492" t="n">
        <x:f>'原始订单'!J175</x:f>
        <x:v>118</x:v>
      </x:c>
      <x:c r="L175" s="492" t="n">
        <x:f>G175*H175</x:f>
        <x:v>239</x:v>
      </x:c>
      <x:c r="M175" s="492" t="n">
        <x:f>L175*I175</x:f>
        <x:v>23.900000000000002</x:v>
      </x:c>
      <x:c r="N175" s="492" t="n">
        <x:f>(L175-M175)*J175</x:f>
        <x:v>0</x:v>
      </x:c>
      <x:c r="O175" s="492" t="n">
        <x:f>L175-M175-N175</x:f>
        <x:v>215.1</x:v>
      </x:c>
      <x:c r="P175" s="492" t="n">
        <x:f>G175*K175*(1-J175)</x:f>
        <x:v>118</x:v>
      </x:c>
      <x:c r="Q175" s="492" t="n">
        <x:f>O175-P175</x:f>
        <x:v>97.1</x:v>
      </x:c>
      <x:c r="R175" s="490" t="n">
        <x:f>IF(O175=0,0,Q175/O175)</x:f>
        <x:v>0.4514179451417945</x:v>
      </x:c>
      <x:c r="S175" s="488" t="str">
        <x:f>IF(J175=1,"退款",IF(I175&gt;=0.2,"高折扣","正常"))</x:f>
        <x:v>正常</x:v>
      </x:c>
    </x:row>
    <x:row r="176">
      <x:c r="A176" s="486" t="n">
        <x:f>'原始订单'!A176</x:f>
        <x:v>46218</x:v>
      </x:c>
      <x:c r="B176" s="487" t="n">
        <x:f>DATE(YEAR(A176),MONTH(A176),1)</x:f>
        <x:v>46204</x:v>
      </x:c>
      <x:c r="C176" s="488" t="str">
        <x:f>'原始订单'!B176</x:f>
        <x:v>D20260172</x:v>
      </x:c>
      <x:c r="D176" s="488" t="str">
        <x:f>'原始订单'!C176</x:f>
        <x:v>C1055</x:v>
      </x:c>
      <x:c r="E176" s="488" t="str">
        <x:f>'原始订单'!D176</x:f>
        <x:v>抖音广告</x:v>
      </x:c>
      <x:c r="F176" s="488" t="str">
        <x:f>'原始订单'!E176</x:f>
        <x:v>轻量旅行杯</x:v>
      </x:c>
      <x:c r="G176" s="489" t="n">
        <x:f>'原始订单'!F176</x:f>
        <x:v>1</x:v>
      </x:c>
      <x:c r="H176" s="489" t="n">
        <x:f>'原始订单'!G176</x:f>
        <x:v>129</x:v>
      </x:c>
      <x:c r="I176" s="490" t="n">
        <x:f>'原始订单'!H176</x:f>
        <x:v>0</x:v>
      </x:c>
      <x:c r="J176" s="491" t="n">
        <x:f>'原始订单'!I176</x:f>
        <x:v>0</x:v>
      </x:c>
      <x:c r="K176" s="492" t="n">
        <x:f>'原始订单'!J176</x:f>
        <x:v>48</x:v>
      </x:c>
      <x:c r="L176" s="492" t="n">
        <x:f>G176*H176</x:f>
        <x:v>129</x:v>
      </x:c>
      <x:c r="M176" s="492" t="n">
        <x:f>L176*I176</x:f>
        <x:v>0</x:v>
      </x:c>
      <x:c r="N176" s="492" t="n">
        <x:f>(L176-M176)*J176</x:f>
        <x:v>0</x:v>
      </x:c>
      <x:c r="O176" s="492" t="n">
        <x:f>L176-M176-N176</x:f>
        <x:v>129</x:v>
      </x:c>
      <x:c r="P176" s="492" t="n">
        <x:f>G176*K176*(1-J176)</x:f>
        <x:v>48</x:v>
      </x:c>
      <x:c r="Q176" s="492" t="n">
        <x:f>O176-P176</x:f>
        <x:v>81</x:v>
      </x:c>
      <x:c r="R176" s="490" t="n">
        <x:f>IF(O176=0,0,Q176/O176)</x:f>
        <x:v>0.627906976744186</x:v>
      </x:c>
      <x:c r="S176" s="488" t="str">
        <x:f>IF(J176=1,"退款",IF(I176&gt;=0.2,"高折扣","正常"))</x:f>
        <x:v>正常</x:v>
      </x:c>
    </x:row>
    <x:row r="177">
      <x:c r="A177" s="486" t="n">
        <x:f>'原始订单'!A177</x:f>
        <x:v>46218</x:v>
      </x:c>
      <x:c r="B177" s="487" t="n">
        <x:f>DATE(YEAR(A177),MONTH(A177),1)</x:f>
        <x:v>46204</x:v>
      </x:c>
      <x:c r="C177" s="488" t="str">
        <x:f>'原始订单'!B177</x:f>
        <x:v>D20260173</x:v>
      </x:c>
      <x:c r="D177" s="488" t="str">
        <x:f>'原始订单'!C177</x:f>
        <x:v>C1031</x:v>
      </x:c>
      <x:c r="E177" s="488" t="str">
        <x:f>'原始订单'!D177</x:f>
        <x:v>自然搜索</x:v>
      </x:c>
      <x:c r="F177" s="488" t="str">
        <x:f>'原始订单'!E177</x:f>
        <x:v>轻量旅行杯</x:v>
      </x:c>
      <x:c r="G177" s="489" t="n">
        <x:f>'原始订单'!F177</x:f>
        <x:v>1</x:v>
      </x:c>
      <x:c r="H177" s="489" t="n">
        <x:f>'原始订单'!G177</x:f>
        <x:v>129</x:v>
      </x:c>
      <x:c r="I177" s="490" t="n">
        <x:f>'原始订单'!H177</x:f>
        <x:v>0.1</x:v>
      </x:c>
      <x:c r="J177" s="491" t="n">
        <x:f>'原始订单'!I177</x:f>
        <x:v>0</x:v>
      </x:c>
      <x:c r="K177" s="492" t="n">
        <x:f>'原始订单'!J177</x:f>
        <x:v>48</x:v>
      </x:c>
      <x:c r="L177" s="492" t="n">
        <x:f>G177*H177</x:f>
        <x:v>129</x:v>
      </x:c>
      <x:c r="M177" s="492" t="n">
        <x:f>L177*I177</x:f>
        <x:v>12.9</x:v>
      </x:c>
      <x:c r="N177" s="492" t="n">
        <x:f>(L177-M177)*J177</x:f>
        <x:v>0</x:v>
      </x:c>
      <x:c r="O177" s="492" t="n">
        <x:f>L177-M177-N177</x:f>
        <x:v>116.1</x:v>
      </x:c>
      <x:c r="P177" s="492" t="n">
        <x:f>G177*K177*(1-J177)</x:f>
        <x:v>48</x:v>
      </x:c>
      <x:c r="Q177" s="492" t="n">
        <x:f>O177-P177</x:f>
        <x:v>68.1</x:v>
      </x:c>
      <x:c r="R177" s="490" t="n">
        <x:f>IF(O177=0,0,Q177/O177)</x:f>
        <x:v>0.58656330749354</x:v>
      </x:c>
      <x:c r="S177" s="488" t="str">
        <x:f>IF(J177=1,"退款",IF(I177&gt;=0.2,"高折扣","正常"))</x:f>
        <x:v>正常</x:v>
      </x:c>
    </x:row>
    <x:row r="178">
      <x:c r="A178" s="486" t="n">
        <x:f>'原始订单'!A178</x:f>
        <x:v>46218</x:v>
      </x:c>
      <x:c r="B178" s="487" t="n">
        <x:f>DATE(YEAR(A178),MONTH(A178),1)</x:f>
        <x:v>46204</x:v>
      </x:c>
      <x:c r="C178" s="488" t="str">
        <x:f>'原始订单'!B178</x:f>
        <x:v>D20260174</x:v>
      </x:c>
      <x:c r="D178" s="488" t="str">
        <x:f>'原始订单'!C178</x:f>
        <x:v>C1107</x:v>
      </x:c>
      <x:c r="E178" s="488" t="str">
        <x:f>'原始订单'!D178</x:f>
        <x:v>抖音广告</x:v>
      </x:c>
      <x:c r="F178" s="488" t="str">
        <x:f>'原始订单'!E178</x:f>
        <x:v>无线标签机</x:v>
      </x:c>
      <x:c r="G178" s="489" t="n">
        <x:f>'原始订单'!F178</x:f>
        <x:v>1</x:v>
      </x:c>
      <x:c r="H178" s="489" t="n">
        <x:f>'原始订单'!G178</x:f>
        <x:v>239</x:v>
      </x:c>
      <x:c r="I178" s="490" t="n">
        <x:f>'原始订单'!H178</x:f>
        <x:v>0.05</x:v>
      </x:c>
      <x:c r="J178" s="491" t="n">
        <x:f>'原始订单'!I178</x:f>
        <x:v>0</x:v>
      </x:c>
      <x:c r="K178" s="492" t="n">
        <x:f>'原始订单'!J178</x:f>
        <x:v>118</x:v>
      </x:c>
      <x:c r="L178" s="492" t="n">
        <x:f>G178*H178</x:f>
        <x:v>239</x:v>
      </x:c>
      <x:c r="M178" s="492" t="n">
        <x:f>L178*I178</x:f>
        <x:v>11.950000000000001</x:v>
      </x:c>
      <x:c r="N178" s="492" t="n">
        <x:f>(L178-M178)*J178</x:f>
        <x:v>0</x:v>
      </x:c>
      <x:c r="O178" s="492" t="n">
        <x:f>L178-M178-N178</x:f>
        <x:v>227.05</x:v>
      </x:c>
      <x:c r="P178" s="492" t="n">
        <x:f>G178*K178*(1-J178)</x:f>
        <x:v>118</x:v>
      </x:c>
      <x:c r="Q178" s="492" t="n">
        <x:f>O178-P178</x:f>
        <x:v>109.05000000000001</x:v>
      </x:c>
      <x:c r="R178" s="490" t="n">
        <x:f>IF(O178=0,0,Q178/O178)</x:f>
        <x:v>0.48029068487117377</x:v>
      </x:c>
      <x:c r="S178" s="488" t="str">
        <x:f>IF(J178=1,"退款",IF(I178&gt;=0.2,"高折扣","正常"))</x:f>
        <x:v>正常</x:v>
      </x:c>
    </x:row>
    <x:row r="179">
      <x:c r="A179" s="486" t="n">
        <x:f>'原始订单'!A179</x:f>
        <x:v>46219</x:v>
      </x:c>
      <x:c r="B179" s="487" t="n">
        <x:f>DATE(YEAR(A179),MONTH(A179),1)</x:f>
        <x:v>46204</x:v>
      </x:c>
      <x:c r="C179" s="488" t="str">
        <x:f>'原始订单'!B179</x:f>
        <x:v>D20260175</x:v>
      </x:c>
      <x:c r="D179" s="488" t="str">
        <x:f>'原始订单'!C179</x:f>
        <x:v>C1090</x:v>
      </x:c>
      <x:c r="E179" s="488" t="str">
        <x:f>'原始订单'!D179</x:f>
        <x:v>抖音广告</x:v>
      </x:c>
      <x:c r="F179" s="488" t="str">
        <x:f>'原始订单'!E179</x:f>
        <x:v>便携补光灯</x:v>
      </x:c>
      <x:c r="G179" s="489" t="n">
        <x:f>'原始订单'!F179</x:f>
        <x:v>1</x:v>
      </x:c>
      <x:c r="H179" s="489" t="n">
        <x:f>'原始订单'!G179</x:f>
        <x:v>159</x:v>
      </x:c>
      <x:c r="I179" s="490" t="n">
        <x:f>'原始订单'!H179</x:f>
        <x:v>0.1</x:v>
      </x:c>
      <x:c r="J179" s="491" t="n">
        <x:f>'原始订单'!I179</x:f>
        <x:v>0</x:v>
      </x:c>
      <x:c r="K179" s="492" t="n">
        <x:f>'原始订单'!J179</x:f>
        <x:v>72</x:v>
      </x:c>
      <x:c r="L179" s="492" t="n">
        <x:f>G179*H179</x:f>
        <x:v>159</x:v>
      </x:c>
      <x:c r="M179" s="492" t="n">
        <x:f>L179*I179</x:f>
        <x:v>15.9</x:v>
      </x:c>
      <x:c r="N179" s="492" t="n">
        <x:f>(L179-M179)*J179</x:f>
        <x:v>0</x:v>
      </x:c>
      <x:c r="O179" s="492" t="n">
        <x:f>L179-M179-N179</x:f>
        <x:v>143.1</x:v>
      </x:c>
      <x:c r="P179" s="492" t="n">
        <x:f>G179*K179*(1-J179)</x:f>
        <x:v>72</x:v>
      </x:c>
      <x:c r="Q179" s="492" t="n">
        <x:f>O179-P179</x:f>
        <x:v>71.1</x:v>
      </x:c>
      <x:c r="R179" s="490" t="n">
        <x:f>IF(O179=0,0,Q179/O179)</x:f>
        <x:v>0.4968553459119497</x:v>
      </x:c>
      <x:c r="S179" s="488" t="str">
        <x:f>IF(J179=1,"退款",IF(I179&gt;=0.2,"高折扣","正常"))</x:f>
        <x:v>正常</x:v>
      </x:c>
    </x:row>
    <x:row r="180">
      <x:c r="A180" s="486" t="n">
        <x:f>'原始订单'!A180</x:f>
        <x:v>46219</x:v>
      </x:c>
      <x:c r="B180" s="487" t="n">
        <x:f>DATE(YEAR(A180),MONTH(A180),1)</x:f>
        <x:v>46204</x:v>
      </x:c>
      <x:c r="C180" s="488" t="str">
        <x:f>'原始订单'!B180</x:f>
        <x:v>D20260176</x:v>
      </x:c>
      <x:c r="D180" s="488" t="str">
        <x:f>'原始订单'!C180</x:f>
        <x:v>C1111</x:v>
      </x:c>
      <x:c r="E180" s="488" t="str">
        <x:f>'原始订单'!D180</x:f>
        <x:v>自然搜索</x:v>
      </x:c>
      <x:c r="F180" s="488" t="str">
        <x:f>'原始订单'!E180</x:f>
        <x:v>轻量旅行杯</x:v>
      </x:c>
      <x:c r="G180" s="489" t="n">
        <x:f>'原始订单'!F180</x:f>
        <x:v>1</x:v>
      </x:c>
      <x:c r="H180" s="489" t="n">
        <x:f>'原始订单'!G180</x:f>
        <x:v>129</x:v>
      </x:c>
      <x:c r="I180" s="490" t="n">
        <x:f>'原始订单'!H180</x:f>
        <x:v>0</x:v>
      </x:c>
      <x:c r="J180" s="491" t="n">
        <x:f>'原始订单'!I180</x:f>
        <x:v>0</x:v>
      </x:c>
      <x:c r="K180" s="492" t="n">
        <x:f>'原始订单'!J180</x:f>
        <x:v>48</x:v>
      </x:c>
      <x:c r="L180" s="492" t="n">
        <x:f>G180*H180</x:f>
        <x:v>129</x:v>
      </x:c>
      <x:c r="M180" s="492" t="n">
        <x:f>L180*I180</x:f>
        <x:v>0</x:v>
      </x:c>
      <x:c r="N180" s="492" t="n">
        <x:f>(L180-M180)*J180</x:f>
        <x:v>0</x:v>
      </x:c>
      <x:c r="O180" s="492" t="n">
        <x:f>L180-M180-N180</x:f>
        <x:v>129</x:v>
      </x:c>
      <x:c r="P180" s="492" t="n">
        <x:f>G180*K180*(1-J180)</x:f>
        <x:v>48</x:v>
      </x:c>
      <x:c r="Q180" s="492" t="n">
        <x:f>O180-P180</x:f>
        <x:v>81</x:v>
      </x:c>
      <x:c r="R180" s="490" t="n">
        <x:f>IF(O180=0,0,Q180/O180)</x:f>
        <x:v>0.627906976744186</x:v>
      </x:c>
      <x:c r="S180" s="488" t="str">
        <x:f>IF(J180=1,"退款",IF(I180&gt;=0.2,"高折扣","正常"))</x:f>
        <x:v>正常</x:v>
      </x:c>
    </x:row>
    <x:row r="181">
      <x:c r="A181" s="486" t="n">
        <x:f>'原始订单'!A181</x:f>
        <x:v>46219</x:v>
      </x:c>
      <x:c r="B181" s="487" t="n">
        <x:f>DATE(YEAR(A181),MONTH(A181),1)</x:f>
        <x:v>46204</x:v>
      </x:c>
      <x:c r="C181" s="488" t="str">
        <x:f>'原始订单'!B181</x:f>
        <x:v>D20260177</x:v>
      </x:c>
      <x:c r="D181" s="488" t="str">
        <x:f>'原始订单'!C181</x:f>
        <x:v>C1102</x:v>
      </x:c>
      <x:c r="E181" s="488" t="str">
        <x:f>'原始订单'!D181</x:f>
        <x:v>自然搜索</x:v>
      </x:c>
      <x:c r="F181" s="488" t="str">
        <x:f>'原始订单'!E181</x:f>
        <x:v>无线标签机</x:v>
      </x:c>
      <x:c r="G181" s="489" t="n">
        <x:f>'原始订单'!F181</x:f>
        <x:v>1</x:v>
      </x:c>
      <x:c r="H181" s="489" t="n">
        <x:f>'原始订单'!G181</x:f>
        <x:v>239</x:v>
      </x:c>
      <x:c r="I181" s="490" t="n">
        <x:f>'原始订单'!H181</x:f>
        <x:v>0.05</x:v>
      </x:c>
      <x:c r="J181" s="491" t="n">
        <x:f>'原始订单'!I181</x:f>
        <x:v>0</x:v>
      </x:c>
      <x:c r="K181" s="492" t="n">
        <x:f>'原始订单'!J181</x:f>
        <x:v>118</x:v>
      </x:c>
      <x:c r="L181" s="492" t="n">
        <x:f>G181*H181</x:f>
        <x:v>239</x:v>
      </x:c>
      <x:c r="M181" s="492" t="n">
        <x:f>L181*I181</x:f>
        <x:v>11.950000000000001</x:v>
      </x:c>
      <x:c r="N181" s="492" t="n">
        <x:f>(L181-M181)*J181</x:f>
        <x:v>0</x:v>
      </x:c>
      <x:c r="O181" s="492" t="n">
        <x:f>L181-M181-N181</x:f>
        <x:v>227.05</x:v>
      </x:c>
      <x:c r="P181" s="492" t="n">
        <x:f>G181*K181*(1-J181)</x:f>
        <x:v>118</x:v>
      </x:c>
      <x:c r="Q181" s="492" t="n">
        <x:f>O181-P181</x:f>
        <x:v>109.05000000000001</x:v>
      </x:c>
      <x:c r="R181" s="490" t="n">
        <x:f>IF(O181=0,0,Q181/O181)</x:f>
        <x:v>0.48029068487117377</x:v>
      </x:c>
      <x:c r="S181" s="488" t="str">
        <x:f>IF(J181=1,"退款",IF(I181&gt;=0.2,"高折扣","正常"))</x:f>
        <x:v>正常</x:v>
      </x:c>
    </x:row>
    <x:row r="182">
      <x:c r="A182" s="486" t="n">
        <x:f>'原始订单'!A182</x:f>
        <x:v>46220</x:v>
      </x:c>
      <x:c r="B182" s="487" t="n">
        <x:f>DATE(YEAR(A182),MONTH(A182),1)</x:f>
        <x:v>46204</x:v>
      </x:c>
      <x:c r="C182" s="488" t="str">
        <x:f>'原始订单'!B182</x:f>
        <x:v>D20260178</x:v>
      </x:c>
      <x:c r="D182" s="488" t="str">
        <x:f>'原始订单'!C182</x:f>
        <x:v>C1005</x:v>
      </x:c>
      <x:c r="E182" s="488" t="str">
        <x:f>'原始订单'!D182</x:f>
        <x:v>自然搜索</x:v>
      </x:c>
      <x:c r="F182" s="488" t="str">
        <x:f>'原始订单'!E182</x:f>
        <x:v>轻量旅行杯</x:v>
      </x:c>
      <x:c r="G182" s="489" t="n">
        <x:f>'原始订单'!F182</x:f>
        <x:v>1</x:v>
      </x:c>
      <x:c r="H182" s="489" t="n">
        <x:f>'原始订单'!G182</x:f>
        <x:v>129</x:v>
      </x:c>
      <x:c r="I182" s="490" t="n">
        <x:f>'原始订单'!H182</x:f>
        <x:v>0.05</x:v>
      </x:c>
      <x:c r="J182" s="491" t="n">
        <x:f>'原始订单'!I182</x:f>
        <x:v>0</x:v>
      </x:c>
      <x:c r="K182" s="492" t="n">
        <x:f>'原始订单'!J182</x:f>
        <x:v>48</x:v>
      </x:c>
      <x:c r="L182" s="492" t="n">
        <x:f>G182*H182</x:f>
        <x:v>129</x:v>
      </x:c>
      <x:c r="M182" s="492" t="n">
        <x:f>L182*I182</x:f>
        <x:v>6.45</x:v>
      </x:c>
      <x:c r="N182" s="492" t="n">
        <x:f>(L182-M182)*J182</x:f>
        <x:v>0</x:v>
      </x:c>
      <x:c r="O182" s="492" t="n">
        <x:f>L182-M182-N182</x:f>
        <x:v>122.55</x:v>
      </x:c>
      <x:c r="P182" s="492" t="n">
        <x:f>G182*K182*(1-J182)</x:f>
        <x:v>48</x:v>
      </x:c>
      <x:c r="Q182" s="492" t="n">
        <x:f>O182-P182</x:f>
        <x:v>74.55</x:v>
      </x:c>
      <x:c r="R182" s="490" t="n">
        <x:f>IF(O182=0,0,Q182/O182)</x:f>
        <x:v>0.6083231334149327</x:v>
      </x:c>
      <x:c r="S182" s="488" t="str">
        <x:f>IF(J182=1,"退款",IF(I182&gt;=0.2,"高折扣","正常"))</x:f>
        <x:v>正常</x:v>
      </x:c>
    </x:row>
    <x:row r="183">
      <x:c r="A183" s="486" t="n">
        <x:f>'原始订单'!A183</x:f>
        <x:v>46220</x:v>
      </x:c>
      <x:c r="B183" s="487" t="n">
        <x:f>DATE(YEAR(A183),MONTH(A183),1)</x:f>
        <x:v>46204</x:v>
      </x:c>
      <x:c r="C183" s="488" t="str">
        <x:f>'原始订单'!B183</x:f>
        <x:v>D20260179</x:v>
      </x:c>
      <x:c r="D183" s="488" t="str">
        <x:f>'原始订单'!C183</x:f>
        <x:v>C1071</x:v>
      </x:c>
      <x:c r="E183" s="488" t="str">
        <x:f>'原始订单'!D183</x:f>
        <x:v>自然搜索</x:v>
      </x:c>
      <x:c r="F183" s="488" t="str">
        <x:f>'原始订单'!E183</x:f>
        <x:v>桌面收纳架</x:v>
      </x:c>
      <x:c r="G183" s="489" t="n">
        <x:f>'原始订单'!F183</x:f>
        <x:v>1</x:v>
      </x:c>
      <x:c r="H183" s="489" t="n">
        <x:f>'原始订单'!G183</x:f>
        <x:v>89</x:v>
      </x:c>
      <x:c r="I183" s="490" t="n">
        <x:f>'原始订单'!H183</x:f>
        <x:v>0.05</x:v>
      </x:c>
      <x:c r="J183" s="491" t="n">
        <x:f>'原始订单'!I183</x:f>
        <x:v>0</x:v>
      </x:c>
      <x:c r="K183" s="492" t="n">
        <x:f>'原始订单'!J183</x:f>
        <x:v>32</x:v>
      </x:c>
      <x:c r="L183" s="492" t="n">
        <x:f>G183*H183</x:f>
        <x:v>89</x:v>
      </x:c>
      <x:c r="M183" s="492" t="n">
        <x:f>L183*I183</x:f>
        <x:v>4.45</x:v>
      </x:c>
      <x:c r="N183" s="492" t="n">
        <x:f>(L183-M183)*J183</x:f>
        <x:v>0</x:v>
      </x:c>
      <x:c r="O183" s="492" t="n">
        <x:f>L183-M183-N183</x:f>
        <x:v>84.55</x:v>
      </x:c>
      <x:c r="P183" s="492" t="n">
        <x:f>G183*K183*(1-J183)</x:f>
        <x:v>32</x:v>
      </x:c>
      <x:c r="Q183" s="492" t="n">
        <x:f>O183-P183</x:f>
        <x:v>52.55</x:v>
      </x:c>
      <x:c r="R183" s="490" t="n">
        <x:f>IF(O183=0,0,Q183/O183)</x:f>
        <x:v>0.6215257244234181</x:v>
      </x:c>
      <x:c r="S183" s="488" t="str">
        <x:f>IF(J183=1,"退款",IF(I183&gt;=0.2,"高折扣","正常"))</x:f>
        <x:v>正常</x:v>
      </x:c>
    </x:row>
    <x:row r="184">
      <x:c r="A184" s="486" t="n">
        <x:f>'原始订单'!A184</x:f>
        <x:v>46220</x:v>
      </x:c>
      <x:c r="B184" s="487" t="n">
        <x:f>DATE(YEAR(A184),MONTH(A184),1)</x:f>
        <x:v>46204</x:v>
      </x:c>
      <x:c r="C184" s="488" t="str">
        <x:f>'原始订单'!B184</x:f>
        <x:v>D20260180</x:v>
      </x:c>
      <x:c r="D184" s="488" t="str">
        <x:f>'原始订单'!C184</x:f>
        <x:v>C1006</x:v>
      </x:c>
      <x:c r="E184" s="488" t="str">
        <x:f>'原始订单'!D184</x:f>
        <x:v>老客复购</x:v>
      </x:c>
      <x:c r="F184" s="488" t="str">
        <x:f>'原始订单'!E184</x:f>
        <x:v>便携补光灯</x:v>
      </x:c>
      <x:c r="G184" s="489" t="n">
        <x:f>'原始订单'!F184</x:f>
        <x:v>1</x:v>
      </x:c>
      <x:c r="H184" s="489" t="n">
        <x:f>'原始订单'!G184</x:f>
        <x:v>159</x:v>
      </x:c>
      <x:c r="I184" s="490" t="n">
        <x:f>'原始订单'!H184</x:f>
        <x:v>0</x:v>
      </x:c>
      <x:c r="J184" s="491" t="n">
        <x:f>'原始订单'!I184</x:f>
        <x:v>0</x:v>
      </x:c>
      <x:c r="K184" s="492" t="n">
        <x:f>'原始订单'!J184</x:f>
        <x:v>72</x:v>
      </x:c>
      <x:c r="L184" s="492" t="n">
        <x:f>G184*H184</x:f>
        <x:v>159</x:v>
      </x:c>
      <x:c r="M184" s="492" t="n">
        <x:f>L184*I184</x:f>
        <x:v>0</x:v>
      </x:c>
      <x:c r="N184" s="492" t="n">
        <x:f>(L184-M184)*J184</x:f>
        <x:v>0</x:v>
      </x:c>
      <x:c r="O184" s="492" t="n">
        <x:f>L184-M184-N184</x:f>
        <x:v>159</x:v>
      </x:c>
      <x:c r="P184" s="492" t="n">
        <x:f>G184*K184*(1-J184)</x:f>
        <x:v>72</x:v>
      </x:c>
      <x:c r="Q184" s="492" t="n">
        <x:f>O184-P184</x:f>
        <x:v>87</x:v>
      </x:c>
      <x:c r="R184" s="490" t="n">
        <x:f>IF(O184=0,0,Q184/O184)</x:f>
        <x:v>0.5471698113207547</x:v>
      </x:c>
      <x:c r="S184" s="488" t="str">
        <x:f>IF(J184=1,"退款",IF(I184&gt;=0.2,"高折扣","正常"))</x:f>
        <x:v>正常</x:v>
      </x:c>
    </x:row>
    <x:row r="185">
      <x:c r="A185" s="486" t="n">
        <x:f>'原始订单'!A185</x:f>
        <x:v>46220</x:v>
      </x:c>
      <x:c r="B185" s="487" t="n">
        <x:f>DATE(YEAR(A185),MONTH(A185),1)</x:f>
        <x:v>46204</x:v>
      </x:c>
      <x:c r="C185" s="488" t="str">
        <x:f>'原始订单'!B185</x:f>
        <x:v>D20260181</x:v>
      </x:c>
      <x:c r="D185" s="488" t="str">
        <x:f>'原始订单'!C185</x:f>
        <x:v>C1096</x:v>
      </x:c>
      <x:c r="E185" s="488" t="str">
        <x:f>'原始订单'!D185</x:f>
        <x:v>自然搜索</x:v>
      </x:c>
      <x:c r="F185" s="488" t="str">
        <x:f>'原始订单'!E185</x:f>
        <x:v>轻量旅行杯</x:v>
      </x:c>
      <x:c r="G185" s="489" t="n">
        <x:f>'原始订单'!F185</x:f>
        <x:v>1</x:v>
      </x:c>
      <x:c r="H185" s="489" t="n">
        <x:f>'原始订单'!G185</x:f>
        <x:v>129</x:v>
      </x:c>
      <x:c r="I185" s="490" t="n">
        <x:f>'原始订单'!H185</x:f>
        <x:v>0.2</x:v>
      </x:c>
      <x:c r="J185" s="491" t="n">
        <x:f>'原始订单'!I185</x:f>
        <x:v>0</x:v>
      </x:c>
      <x:c r="K185" s="492" t="n">
        <x:f>'原始订单'!J185</x:f>
        <x:v>48</x:v>
      </x:c>
      <x:c r="L185" s="492" t="n">
        <x:f>G185*H185</x:f>
        <x:v>129</x:v>
      </x:c>
      <x:c r="M185" s="492" t="n">
        <x:f>L185*I185</x:f>
        <x:v>25.8</x:v>
      </x:c>
      <x:c r="N185" s="492" t="n">
        <x:f>(L185-M185)*J185</x:f>
        <x:v>0</x:v>
      </x:c>
      <x:c r="O185" s="492" t="n">
        <x:f>L185-M185-N185</x:f>
        <x:v>103.2</x:v>
      </x:c>
      <x:c r="P185" s="492" t="n">
        <x:f>G185*K185*(1-J185)</x:f>
        <x:v>48</x:v>
      </x:c>
      <x:c r="Q185" s="492" t="n">
        <x:f>O185-P185</x:f>
        <x:v>55.2</x:v>
      </x:c>
      <x:c r="R185" s="490" t="n">
        <x:f>IF(O185=0,0,Q185/O185)</x:f>
        <x:v>0.5348837209302326</x:v>
      </x:c>
      <x:c r="S185" s="488" t="str">
        <x:f>IF(J185=1,"退款",IF(I185&gt;=0.2,"高折扣","正常"))</x:f>
        <x:v>高折扣</x:v>
      </x:c>
    </x:row>
    <x:row r="186">
      <x:c r="A186" s="486" t="n">
        <x:f>'原始订单'!A186</x:f>
        <x:v>46220</x:v>
      </x:c>
      <x:c r="B186" s="487" t="n">
        <x:f>DATE(YEAR(A186),MONTH(A186),1)</x:f>
        <x:v>46204</x:v>
      </x:c>
      <x:c r="C186" s="488" t="str">
        <x:f>'原始订单'!B186</x:f>
        <x:v>D20260182</x:v>
      </x:c>
      <x:c r="D186" s="488" t="str">
        <x:f>'原始订单'!C186</x:f>
        <x:v>C1125</x:v>
      </x:c>
      <x:c r="E186" s="488" t="str">
        <x:f>'原始订单'!D186</x:f>
        <x:v>抖音广告</x:v>
      </x:c>
      <x:c r="F186" s="488" t="str">
        <x:f>'原始订单'!E186</x:f>
        <x:v>便携补光灯</x:v>
      </x:c>
      <x:c r="G186" s="489" t="n">
        <x:f>'原始订单'!F186</x:f>
        <x:v>1</x:v>
      </x:c>
      <x:c r="H186" s="489" t="n">
        <x:f>'原始订单'!G186</x:f>
        <x:v>159</x:v>
      </x:c>
      <x:c r="I186" s="490" t="n">
        <x:f>'原始订单'!H186</x:f>
        <x:v>0.05</x:v>
      </x:c>
      <x:c r="J186" s="491" t="n">
        <x:f>'原始订单'!I186</x:f>
        <x:v>1</x:v>
      </x:c>
      <x:c r="K186" s="492" t="n">
        <x:f>'原始订单'!J186</x:f>
        <x:v>72</x:v>
      </x:c>
      <x:c r="L186" s="492" t="n">
        <x:f>G186*H186</x:f>
        <x:v>159</x:v>
      </x:c>
      <x:c r="M186" s="492" t="n">
        <x:f>L186*I186</x:f>
        <x:v>7.95</x:v>
      </x:c>
      <x:c r="N186" s="492" t="n">
        <x:f>(L186-M186)*J186</x:f>
        <x:v>151.05</x:v>
      </x:c>
      <x:c r="O186" s="492" t="n">
        <x:f>L186-M186-N186</x:f>
        <x:v>0</x:v>
      </x:c>
      <x:c r="P186" s="492" t="n">
        <x:f>G186*K186*(1-J186)</x:f>
        <x:v>0</x:v>
      </x:c>
      <x:c r="Q186" s="492" t="n">
        <x:f>O186-P186</x:f>
        <x:v>0</x:v>
      </x:c>
      <x:c r="R186" s="490" t="n">
        <x:f>IF(O186=0,0,Q186/O186)</x:f>
        <x:v>0</x:v>
      </x:c>
      <x:c r="S186" s="488" t="str">
        <x:f>IF(J186=1,"退款",IF(I186&gt;=0.2,"高折扣","正常"))</x:f>
        <x:v>退款</x:v>
      </x:c>
    </x:row>
    <x:row r="187">
      <x:c r="A187" s="486" t="n">
        <x:f>'原始订单'!A187</x:f>
        <x:v>46220</x:v>
      </x:c>
      <x:c r="B187" s="487" t="n">
        <x:f>DATE(YEAR(A187),MONTH(A187),1)</x:f>
        <x:v>46204</x:v>
      </x:c>
      <x:c r="C187" s="488" t="str">
        <x:f>'原始订单'!B187</x:f>
        <x:v>D20260183</x:v>
      </x:c>
      <x:c r="D187" s="488" t="str">
        <x:f>'原始订单'!C187</x:f>
        <x:v>C1109</x:v>
      </x:c>
      <x:c r="E187" s="488" t="str">
        <x:f>'原始订单'!D187</x:f>
        <x:v>小红书</x:v>
      </x:c>
      <x:c r="F187" s="488" t="str">
        <x:f>'原始订单'!E187</x:f>
        <x:v>轻量旅行杯</x:v>
      </x:c>
      <x:c r="G187" s="489" t="n">
        <x:f>'原始订单'!F187</x:f>
        <x:v>1</x:v>
      </x:c>
      <x:c r="H187" s="489" t="n">
        <x:f>'原始订单'!G187</x:f>
        <x:v>129</x:v>
      </x:c>
      <x:c r="I187" s="490" t="n">
        <x:f>'原始订单'!H187</x:f>
        <x:v>0</x:v>
      </x:c>
      <x:c r="J187" s="491" t="n">
        <x:f>'原始订单'!I187</x:f>
        <x:v>0</x:v>
      </x:c>
      <x:c r="K187" s="492" t="n">
        <x:f>'原始订单'!J187</x:f>
        <x:v>48</x:v>
      </x:c>
      <x:c r="L187" s="492" t="n">
        <x:f>G187*H187</x:f>
        <x:v>129</x:v>
      </x:c>
      <x:c r="M187" s="492" t="n">
        <x:f>L187*I187</x:f>
        <x:v>0</x:v>
      </x:c>
      <x:c r="N187" s="492" t="n">
        <x:f>(L187-M187)*J187</x:f>
        <x:v>0</x:v>
      </x:c>
      <x:c r="O187" s="492" t="n">
        <x:f>L187-M187-N187</x:f>
        <x:v>129</x:v>
      </x:c>
      <x:c r="P187" s="492" t="n">
        <x:f>G187*K187*(1-J187)</x:f>
        <x:v>48</x:v>
      </x:c>
      <x:c r="Q187" s="492" t="n">
        <x:f>O187-P187</x:f>
        <x:v>81</x:v>
      </x:c>
      <x:c r="R187" s="490" t="n">
        <x:f>IF(O187=0,0,Q187/O187)</x:f>
        <x:v>0.627906976744186</x:v>
      </x:c>
      <x:c r="S187" s="488" t="str">
        <x:f>IF(J187=1,"退款",IF(I187&gt;=0.2,"高折扣","正常"))</x:f>
        <x:v>正常</x:v>
      </x:c>
    </x:row>
    <x:row r="188">
      <x:c r="A188" s="486" t="n">
        <x:f>'原始订单'!A188</x:f>
        <x:v>46220</x:v>
      </x:c>
      <x:c r="B188" s="487" t="n">
        <x:f>DATE(YEAR(A188),MONTH(A188),1)</x:f>
        <x:v>46204</x:v>
      </x:c>
      <x:c r="C188" s="488" t="str">
        <x:f>'原始订单'!B188</x:f>
        <x:v>D20260184</x:v>
      </x:c>
      <x:c r="D188" s="488" t="str">
        <x:f>'原始订单'!C188</x:f>
        <x:v>C1034</x:v>
      </x:c>
      <x:c r="E188" s="488" t="str">
        <x:f>'原始订单'!D188</x:f>
        <x:v>抖音广告</x:v>
      </x:c>
      <x:c r="F188" s="488" t="str">
        <x:f>'原始订单'!E188</x:f>
        <x:v>无线标签机</x:v>
      </x:c>
      <x:c r="G188" s="489" t="n">
        <x:f>'原始订单'!F188</x:f>
        <x:v>1</x:v>
      </x:c>
      <x:c r="H188" s="489" t="n">
        <x:f>'原始订单'!G188</x:f>
        <x:v>239</x:v>
      </x:c>
      <x:c r="I188" s="490" t="n">
        <x:f>'原始订单'!H188</x:f>
        <x:v>0.1</x:v>
      </x:c>
      <x:c r="J188" s="491" t="n">
        <x:f>'原始订单'!I188</x:f>
        <x:v>0</x:v>
      </x:c>
      <x:c r="K188" s="492" t="n">
        <x:f>'原始订单'!J188</x:f>
        <x:v>118</x:v>
      </x:c>
      <x:c r="L188" s="492" t="n">
        <x:f>G188*H188</x:f>
        <x:v>239</x:v>
      </x:c>
      <x:c r="M188" s="492" t="n">
        <x:f>L188*I188</x:f>
        <x:v>23.900000000000002</x:v>
      </x:c>
      <x:c r="N188" s="492" t="n">
        <x:f>(L188-M188)*J188</x:f>
        <x:v>0</x:v>
      </x:c>
      <x:c r="O188" s="492" t="n">
        <x:f>L188-M188-N188</x:f>
        <x:v>215.1</x:v>
      </x:c>
      <x:c r="P188" s="492" t="n">
        <x:f>G188*K188*(1-J188)</x:f>
        <x:v>118</x:v>
      </x:c>
      <x:c r="Q188" s="492" t="n">
        <x:f>O188-P188</x:f>
        <x:v>97.1</x:v>
      </x:c>
      <x:c r="R188" s="490" t="n">
        <x:f>IF(O188=0,0,Q188/O188)</x:f>
        <x:v>0.4514179451417945</x:v>
      </x:c>
      <x:c r="S188" s="488" t="str">
        <x:f>IF(J188=1,"退款",IF(I188&gt;=0.2,"高折扣","正常"))</x:f>
        <x:v>正常</x:v>
      </x:c>
    </x:row>
    <x:row r="189">
      <x:c r="A189" s="486" t="n">
        <x:f>'原始订单'!A189</x:f>
        <x:v>46221</x:v>
      </x:c>
      <x:c r="B189" s="487" t="n">
        <x:f>DATE(YEAR(A189),MONTH(A189),1)</x:f>
        <x:v>46204</x:v>
      </x:c>
      <x:c r="C189" s="488" t="str">
        <x:f>'原始订单'!B189</x:f>
        <x:v>D20260185</x:v>
      </x:c>
      <x:c r="D189" s="488" t="str">
        <x:f>'原始订单'!C189</x:f>
        <x:v>C1113</x:v>
      </x:c>
      <x:c r="E189" s="488" t="str">
        <x:f>'原始订单'!D189</x:f>
        <x:v>抖音广告</x:v>
      </x:c>
      <x:c r="F189" s="488" t="str">
        <x:f>'原始订单'!E189</x:f>
        <x:v>无线标签机</x:v>
      </x:c>
      <x:c r="G189" s="489" t="n">
        <x:f>'原始订单'!F189</x:f>
        <x:v>1</x:v>
      </x:c>
      <x:c r="H189" s="489" t="n">
        <x:f>'原始订单'!G189</x:f>
        <x:v>239</x:v>
      </x:c>
      <x:c r="I189" s="490" t="n">
        <x:f>'原始订单'!H189</x:f>
        <x:v>0.1</x:v>
      </x:c>
      <x:c r="J189" s="491" t="n">
        <x:f>'原始订单'!I189</x:f>
        <x:v>0</x:v>
      </x:c>
      <x:c r="K189" s="492" t="n">
        <x:f>'原始订单'!J189</x:f>
        <x:v>118</x:v>
      </x:c>
      <x:c r="L189" s="492" t="n">
        <x:f>G189*H189</x:f>
        <x:v>239</x:v>
      </x:c>
      <x:c r="M189" s="492" t="n">
        <x:f>L189*I189</x:f>
        <x:v>23.900000000000002</x:v>
      </x:c>
      <x:c r="N189" s="492" t="n">
        <x:f>(L189-M189)*J189</x:f>
        <x:v>0</x:v>
      </x:c>
      <x:c r="O189" s="492" t="n">
        <x:f>L189-M189-N189</x:f>
        <x:v>215.1</x:v>
      </x:c>
      <x:c r="P189" s="492" t="n">
        <x:f>G189*K189*(1-J189)</x:f>
        <x:v>118</x:v>
      </x:c>
      <x:c r="Q189" s="492" t="n">
        <x:f>O189-P189</x:f>
        <x:v>97.1</x:v>
      </x:c>
      <x:c r="R189" s="490" t="n">
        <x:f>IF(O189=0,0,Q189/O189)</x:f>
        <x:v>0.4514179451417945</x:v>
      </x:c>
      <x:c r="S189" s="488" t="str">
        <x:f>IF(J189=1,"退款",IF(I189&gt;=0.2,"高折扣","正常"))</x:f>
        <x:v>正常</x:v>
      </x:c>
    </x:row>
    <x:row r="190">
      <x:c r="A190" s="486" t="n">
        <x:f>'原始订单'!A190</x:f>
        <x:v>46221</x:v>
      </x:c>
      <x:c r="B190" s="487" t="n">
        <x:f>DATE(YEAR(A190),MONTH(A190),1)</x:f>
        <x:v>46204</x:v>
      </x:c>
      <x:c r="C190" s="488" t="str">
        <x:f>'原始订单'!B190</x:f>
        <x:v>D20260186</x:v>
      </x:c>
      <x:c r="D190" s="488" t="str">
        <x:f>'原始订单'!C190</x:f>
        <x:v>C1141</x:v>
      </x:c>
      <x:c r="E190" s="488" t="str">
        <x:f>'原始订单'!D190</x:f>
        <x:v>自然搜索</x:v>
      </x:c>
      <x:c r="F190" s="488" t="str">
        <x:f>'原始订单'!E190</x:f>
        <x:v>轻量旅行杯</x:v>
      </x:c>
      <x:c r="G190" s="489" t="n">
        <x:f>'原始订单'!F190</x:f>
        <x:v>1</x:v>
      </x:c>
      <x:c r="H190" s="489" t="n">
        <x:f>'原始订单'!G190</x:f>
        <x:v>129</x:v>
      </x:c>
      <x:c r="I190" s="490" t="n">
        <x:f>'原始订单'!H190</x:f>
        <x:v>0.05</x:v>
      </x:c>
      <x:c r="J190" s="491" t="n">
        <x:f>'原始订单'!I190</x:f>
        <x:v>0</x:v>
      </x:c>
      <x:c r="K190" s="492" t="n">
        <x:f>'原始订单'!J190</x:f>
        <x:v>48</x:v>
      </x:c>
      <x:c r="L190" s="492" t="n">
        <x:f>G190*H190</x:f>
        <x:v>129</x:v>
      </x:c>
      <x:c r="M190" s="492" t="n">
        <x:f>L190*I190</x:f>
        <x:v>6.45</x:v>
      </x:c>
      <x:c r="N190" s="492" t="n">
        <x:f>(L190-M190)*J190</x:f>
        <x:v>0</x:v>
      </x:c>
      <x:c r="O190" s="492" t="n">
        <x:f>L190-M190-N190</x:f>
        <x:v>122.55</x:v>
      </x:c>
      <x:c r="P190" s="492" t="n">
        <x:f>G190*K190*(1-J190)</x:f>
        <x:v>48</x:v>
      </x:c>
      <x:c r="Q190" s="492" t="n">
        <x:f>O190-P190</x:f>
        <x:v>74.55</x:v>
      </x:c>
      <x:c r="R190" s="490" t="n">
        <x:f>IF(O190=0,0,Q190/O190)</x:f>
        <x:v>0.6083231334149327</x:v>
      </x:c>
      <x:c r="S190" s="488" t="str">
        <x:f>IF(J190=1,"退款",IF(I190&gt;=0.2,"高折扣","正常"))</x:f>
        <x:v>正常</x:v>
      </x:c>
    </x:row>
    <x:row r="191">
      <x:c r="A191" s="486" t="n">
        <x:f>'原始订单'!A191</x:f>
        <x:v>46221</x:v>
      </x:c>
      <x:c r="B191" s="487" t="n">
        <x:f>DATE(YEAR(A191),MONTH(A191),1)</x:f>
        <x:v>46204</x:v>
      </x:c>
      <x:c r="C191" s="488" t="str">
        <x:f>'原始订单'!B191</x:f>
        <x:v>D20260187</x:v>
      </x:c>
      <x:c r="D191" s="488" t="str">
        <x:f>'原始订单'!C191</x:f>
        <x:v>C1123</x:v>
      </x:c>
      <x:c r="E191" s="488" t="str">
        <x:f>'原始订单'!D191</x:f>
        <x:v>小红书</x:v>
      </x:c>
      <x:c r="F191" s="488" t="str">
        <x:f>'原始订单'!E191</x:f>
        <x:v>桌面收纳架</x:v>
      </x:c>
      <x:c r="G191" s="489" t="n">
        <x:f>'原始订单'!F191</x:f>
        <x:v>2</x:v>
      </x:c>
      <x:c r="H191" s="489" t="n">
        <x:f>'原始订单'!G191</x:f>
        <x:v>89</x:v>
      </x:c>
      <x:c r="I191" s="490" t="n">
        <x:f>'原始订单'!H191</x:f>
        <x:v>0</x:v>
      </x:c>
      <x:c r="J191" s="491" t="n">
        <x:f>'原始订单'!I191</x:f>
        <x:v>0</x:v>
      </x:c>
      <x:c r="K191" s="492" t="n">
        <x:f>'原始订单'!J191</x:f>
        <x:v>32</x:v>
      </x:c>
      <x:c r="L191" s="492" t="n">
        <x:f>G191*H191</x:f>
        <x:v>178</x:v>
      </x:c>
      <x:c r="M191" s="492" t="n">
        <x:f>L191*I191</x:f>
        <x:v>0</x:v>
      </x:c>
      <x:c r="N191" s="492" t="n">
        <x:f>(L191-M191)*J191</x:f>
        <x:v>0</x:v>
      </x:c>
      <x:c r="O191" s="492" t="n">
        <x:f>L191-M191-N191</x:f>
        <x:v>178</x:v>
      </x:c>
      <x:c r="P191" s="492" t="n">
        <x:f>G191*K191*(1-J191)</x:f>
        <x:v>64</x:v>
      </x:c>
      <x:c r="Q191" s="492" t="n">
        <x:f>O191-P191</x:f>
        <x:v>114</x:v>
      </x:c>
      <x:c r="R191" s="490" t="n">
        <x:f>IF(O191=0,0,Q191/O191)</x:f>
        <x:v>0.6404494382022472</x:v>
      </x:c>
      <x:c r="S191" s="488" t="str">
        <x:f>IF(J191=1,"退款",IF(I191&gt;=0.2,"高折扣","正常"))</x:f>
        <x:v>正常</x:v>
      </x:c>
    </x:row>
    <x:row r="192">
      <x:c r="A192" s="486" t="n">
        <x:f>'原始订单'!A192</x:f>
        <x:v>46221</x:v>
      </x:c>
      <x:c r="B192" s="487" t="n">
        <x:f>DATE(YEAR(A192),MONTH(A192),1)</x:f>
        <x:v>46204</x:v>
      </x:c>
      <x:c r="C192" s="488" t="str">
        <x:f>'原始订单'!B192</x:f>
        <x:v>D20260188</x:v>
      </x:c>
      <x:c r="D192" s="488" t="str">
        <x:f>'原始订单'!C192</x:f>
        <x:v>C1056</x:v>
      </x:c>
      <x:c r="E192" s="488" t="str">
        <x:f>'原始订单'!D192</x:f>
        <x:v>小红书</x:v>
      </x:c>
      <x:c r="F192" s="488" t="str">
        <x:f>'原始订单'!E192</x:f>
        <x:v>轻量旅行杯</x:v>
      </x:c>
      <x:c r="G192" s="489" t="n">
        <x:f>'原始订单'!F192</x:f>
        <x:v>1</x:v>
      </x:c>
      <x:c r="H192" s="489" t="n">
        <x:f>'原始订单'!G192</x:f>
        <x:v>129</x:v>
      </x:c>
      <x:c r="I192" s="490" t="n">
        <x:f>'原始订单'!H192</x:f>
        <x:v>0.05</x:v>
      </x:c>
      <x:c r="J192" s="491" t="n">
        <x:f>'原始订单'!I192</x:f>
        <x:v>0</x:v>
      </x:c>
      <x:c r="K192" s="492" t="n">
        <x:f>'原始订单'!J192</x:f>
        <x:v>48</x:v>
      </x:c>
      <x:c r="L192" s="492" t="n">
        <x:f>G192*H192</x:f>
        <x:v>129</x:v>
      </x:c>
      <x:c r="M192" s="492" t="n">
        <x:f>L192*I192</x:f>
        <x:v>6.45</x:v>
      </x:c>
      <x:c r="N192" s="492" t="n">
        <x:f>(L192-M192)*J192</x:f>
        <x:v>0</x:v>
      </x:c>
      <x:c r="O192" s="492" t="n">
        <x:f>L192-M192-N192</x:f>
        <x:v>122.55</x:v>
      </x:c>
      <x:c r="P192" s="492" t="n">
        <x:f>G192*K192*(1-J192)</x:f>
        <x:v>48</x:v>
      </x:c>
      <x:c r="Q192" s="492" t="n">
        <x:f>O192-P192</x:f>
        <x:v>74.55</x:v>
      </x:c>
      <x:c r="R192" s="490" t="n">
        <x:f>IF(O192=0,0,Q192/O192)</x:f>
        <x:v>0.6083231334149327</x:v>
      </x:c>
      <x:c r="S192" s="488" t="str">
        <x:f>IF(J192=1,"退款",IF(I192&gt;=0.2,"高折扣","正常"))</x:f>
        <x:v>正常</x:v>
      </x:c>
    </x:row>
    <x:row r="193">
      <x:c r="A193" s="486" t="n">
        <x:f>'原始订单'!A193</x:f>
        <x:v>46222</x:v>
      </x:c>
      <x:c r="B193" s="487" t="n">
        <x:f>DATE(YEAR(A193),MONTH(A193),1)</x:f>
        <x:v>46204</x:v>
      </x:c>
      <x:c r="C193" s="488" t="str">
        <x:f>'原始订单'!B193</x:f>
        <x:v>D20260189</x:v>
      </x:c>
      <x:c r="D193" s="488" t="str">
        <x:f>'原始订单'!C193</x:f>
        <x:v>C1120</x:v>
      </x:c>
      <x:c r="E193" s="488" t="str">
        <x:f>'原始订单'!D193</x:f>
        <x:v>小红书</x:v>
      </x:c>
      <x:c r="F193" s="488" t="str">
        <x:f>'原始订单'!E193</x:f>
        <x:v>便携补光灯</x:v>
      </x:c>
      <x:c r="G193" s="489" t="n">
        <x:f>'原始订单'!F193</x:f>
        <x:v>1</x:v>
      </x:c>
      <x:c r="H193" s="489" t="n">
        <x:f>'原始订单'!G193</x:f>
        <x:v>159</x:v>
      </x:c>
      <x:c r="I193" s="490" t="n">
        <x:f>'原始订单'!H193</x:f>
        <x:v>0.1</x:v>
      </x:c>
      <x:c r="J193" s="491" t="n">
        <x:f>'原始订单'!I193</x:f>
        <x:v>1</x:v>
      </x:c>
      <x:c r="K193" s="492" t="n">
        <x:f>'原始订单'!J193</x:f>
        <x:v>72</x:v>
      </x:c>
      <x:c r="L193" s="492" t="n">
        <x:f>G193*H193</x:f>
        <x:v>159</x:v>
      </x:c>
      <x:c r="M193" s="492" t="n">
        <x:f>L193*I193</x:f>
        <x:v>15.9</x:v>
      </x:c>
      <x:c r="N193" s="492" t="n">
        <x:f>(L193-M193)*J193</x:f>
        <x:v>143.1</x:v>
      </x:c>
      <x:c r="O193" s="492" t="n">
        <x:f>L193-M193-N193</x:f>
        <x:v>0</x:v>
      </x:c>
      <x:c r="P193" s="492" t="n">
        <x:f>G193*K193*(1-J193)</x:f>
        <x:v>0</x:v>
      </x:c>
      <x:c r="Q193" s="492" t="n">
        <x:f>O193-P193</x:f>
        <x:v>0</x:v>
      </x:c>
      <x:c r="R193" s="490" t="n">
        <x:f>IF(O193=0,0,Q193/O193)</x:f>
        <x:v>0</x:v>
      </x:c>
      <x:c r="S193" s="488" t="str">
        <x:f>IF(J193=1,"退款",IF(I193&gt;=0.2,"高折扣","正常"))</x:f>
        <x:v>退款</x:v>
      </x:c>
    </x:row>
    <x:row r="194">
      <x:c r="A194" s="486" t="n">
        <x:f>'原始订单'!A194</x:f>
        <x:v>46222</x:v>
      </x:c>
      <x:c r="B194" s="487" t="n">
        <x:f>DATE(YEAR(A194),MONTH(A194),1)</x:f>
        <x:v>46204</x:v>
      </x:c>
      <x:c r="C194" s="488" t="str">
        <x:f>'原始订单'!B194</x:f>
        <x:v>D20260190</x:v>
      </x:c>
      <x:c r="D194" s="488" t="str">
        <x:f>'原始订单'!C194</x:f>
        <x:v>C1011</x:v>
      </x:c>
      <x:c r="E194" s="488" t="str">
        <x:f>'原始订单'!D194</x:f>
        <x:v>抖音广告</x:v>
      </x:c>
      <x:c r="F194" s="488" t="str">
        <x:f>'原始订单'!E194</x:f>
        <x:v>便携补光灯</x:v>
      </x:c>
      <x:c r="G194" s="489" t="n">
        <x:f>'原始订单'!F194</x:f>
        <x:v>1</x:v>
      </x:c>
      <x:c r="H194" s="489" t="n">
        <x:f>'原始订单'!G194</x:f>
        <x:v>159</x:v>
      </x:c>
      <x:c r="I194" s="490" t="n">
        <x:f>'原始订单'!H194</x:f>
        <x:v>0</x:v>
      </x:c>
      <x:c r="J194" s="491" t="n">
        <x:f>'原始订单'!I194</x:f>
        <x:v>0</x:v>
      </x:c>
      <x:c r="K194" s="492" t="n">
        <x:f>'原始订单'!J194</x:f>
        <x:v>72</x:v>
      </x:c>
      <x:c r="L194" s="492" t="n">
        <x:f>G194*H194</x:f>
        <x:v>159</x:v>
      </x:c>
      <x:c r="M194" s="492" t="n">
        <x:f>L194*I194</x:f>
        <x:v>0</x:v>
      </x:c>
      <x:c r="N194" s="492" t="n">
        <x:f>(L194-M194)*J194</x:f>
        <x:v>0</x:v>
      </x:c>
      <x:c r="O194" s="492" t="n">
        <x:f>L194-M194-N194</x:f>
        <x:v>159</x:v>
      </x:c>
      <x:c r="P194" s="492" t="n">
        <x:f>G194*K194*(1-J194)</x:f>
        <x:v>72</x:v>
      </x:c>
      <x:c r="Q194" s="492" t="n">
        <x:f>O194-P194</x:f>
        <x:v>87</x:v>
      </x:c>
      <x:c r="R194" s="490" t="n">
        <x:f>IF(O194=0,0,Q194/O194)</x:f>
        <x:v>0.5471698113207547</x:v>
      </x:c>
      <x:c r="S194" s="488" t="str">
        <x:f>IF(J194=1,"退款",IF(I194&gt;=0.2,"高折扣","正常"))</x:f>
        <x:v>正常</x:v>
      </x:c>
    </x:row>
    <x:row r="195">
      <x:c r="A195" s="486" t="n">
        <x:f>'原始订单'!A195</x:f>
        <x:v>46222</x:v>
      </x:c>
      <x:c r="B195" s="487" t="n">
        <x:f>DATE(YEAR(A195),MONTH(A195),1)</x:f>
        <x:v>46204</x:v>
      </x:c>
      <x:c r="C195" s="488" t="str">
        <x:f>'原始订单'!B195</x:f>
        <x:v>D20260191</x:v>
      </x:c>
      <x:c r="D195" s="488" t="str">
        <x:f>'原始订单'!C195</x:f>
        <x:v>C1014</x:v>
      </x:c>
      <x:c r="E195" s="488" t="str">
        <x:f>'原始订单'!D195</x:f>
        <x:v>抖音广告</x:v>
      </x:c>
      <x:c r="F195" s="488" t="str">
        <x:f>'原始订单'!E195</x:f>
        <x:v>便携补光灯</x:v>
      </x:c>
      <x:c r="G195" s="489" t="n">
        <x:f>'原始订单'!F195</x:f>
        <x:v>1</x:v>
      </x:c>
      <x:c r="H195" s="489" t="n">
        <x:f>'原始订单'!G195</x:f>
        <x:v>159</x:v>
      </x:c>
      <x:c r="I195" s="490" t="n">
        <x:f>'原始订单'!H195</x:f>
        <x:v>0.2</x:v>
      </x:c>
      <x:c r="J195" s="491" t="n">
        <x:f>'原始订单'!I195</x:f>
        <x:v>0</x:v>
      </x:c>
      <x:c r="K195" s="492" t="n">
        <x:f>'原始订单'!J195</x:f>
        <x:v>72</x:v>
      </x:c>
      <x:c r="L195" s="492" t="n">
        <x:f>G195*H195</x:f>
        <x:v>159</x:v>
      </x:c>
      <x:c r="M195" s="492" t="n">
        <x:f>L195*I195</x:f>
        <x:v>31.8</x:v>
      </x:c>
      <x:c r="N195" s="492" t="n">
        <x:f>(L195-M195)*J195</x:f>
        <x:v>0</x:v>
      </x:c>
      <x:c r="O195" s="492" t="n">
        <x:f>L195-M195-N195</x:f>
        <x:v>127.2</x:v>
      </x:c>
      <x:c r="P195" s="492" t="n">
        <x:f>G195*K195*(1-J195)</x:f>
        <x:v>72</x:v>
      </x:c>
      <x:c r="Q195" s="492" t="n">
        <x:f>O195-P195</x:f>
        <x:v>55.2</x:v>
      </x:c>
      <x:c r="R195" s="490" t="n">
        <x:f>IF(O195=0,0,Q195/O195)</x:f>
        <x:v>0.4339622641509434</x:v>
      </x:c>
      <x:c r="S195" s="488" t="str">
        <x:f>IF(J195=1,"退款",IF(I195&gt;=0.2,"高折扣","正常"))</x:f>
        <x:v>高折扣</x:v>
      </x:c>
    </x:row>
    <x:row r="196">
      <x:c r="A196" s="486" t="n">
        <x:f>'原始订单'!A196</x:f>
        <x:v>46223</x:v>
      </x:c>
      <x:c r="B196" s="487" t="n">
        <x:f>DATE(YEAR(A196),MONTH(A196),1)</x:f>
        <x:v>46204</x:v>
      </x:c>
      <x:c r="C196" s="488" t="str">
        <x:f>'原始订单'!B196</x:f>
        <x:v>D20260192</x:v>
      </x:c>
      <x:c r="D196" s="488" t="str">
        <x:f>'原始订单'!C196</x:f>
        <x:v>C1001</x:v>
      </x:c>
      <x:c r="E196" s="488" t="str">
        <x:f>'原始订单'!D196</x:f>
        <x:v>抖音广告</x:v>
      </x:c>
      <x:c r="F196" s="488" t="str">
        <x:f>'原始订单'!E196</x:f>
        <x:v>无线标签机</x:v>
      </x:c>
      <x:c r="G196" s="489" t="n">
        <x:f>'原始订单'!F196</x:f>
        <x:v>1</x:v>
      </x:c>
      <x:c r="H196" s="489" t="n">
        <x:f>'原始订单'!G196</x:f>
        <x:v>239</x:v>
      </x:c>
      <x:c r="I196" s="490" t="n">
        <x:f>'原始订单'!H196</x:f>
        <x:v>0</x:v>
      </x:c>
      <x:c r="J196" s="491" t="n">
        <x:f>'原始订单'!I196</x:f>
        <x:v>0</x:v>
      </x:c>
      <x:c r="K196" s="492" t="n">
        <x:f>'原始订单'!J196</x:f>
        <x:v>118</x:v>
      </x:c>
      <x:c r="L196" s="492" t="n">
        <x:f>G196*H196</x:f>
        <x:v>239</x:v>
      </x:c>
      <x:c r="M196" s="492" t="n">
        <x:f>L196*I196</x:f>
        <x:v>0</x:v>
      </x:c>
      <x:c r="N196" s="492" t="n">
        <x:f>(L196-M196)*J196</x:f>
        <x:v>0</x:v>
      </x:c>
      <x:c r="O196" s="492" t="n">
        <x:f>L196-M196-N196</x:f>
        <x:v>239</x:v>
      </x:c>
      <x:c r="P196" s="492" t="n">
        <x:f>G196*K196*(1-J196)</x:f>
        <x:v>118</x:v>
      </x:c>
      <x:c r="Q196" s="492" t="n">
        <x:f>O196-P196</x:f>
        <x:v>121</x:v>
      </x:c>
      <x:c r="R196" s="490" t="n">
        <x:f>IF(O196=0,0,Q196/O196)</x:f>
        <x:v>0.5062761506276151</x:v>
      </x:c>
      <x:c r="S196" s="488" t="str">
        <x:f>IF(J196=1,"退款",IF(I196&gt;=0.2,"高折扣","正常"))</x:f>
        <x:v>正常</x:v>
      </x:c>
    </x:row>
    <x:row r="197">
      <x:c r="A197" s="486" t="n">
        <x:f>'原始订单'!A197</x:f>
        <x:v>46223</x:v>
      </x:c>
      <x:c r="B197" s="487" t="n">
        <x:f>DATE(YEAR(A197),MONTH(A197),1)</x:f>
        <x:v>46204</x:v>
      </x:c>
      <x:c r="C197" s="488" t="str">
        <x:f>'原始订单'!B197</x:f>
        <x:v>D20260193</x:v>
      </x:c>
      <x:c r="D197" s="488" t="str">
        <x:f>'原始订单'!C197</x:f>
        <x:v>C1020</x:v>
      </x:c>
      <x:c r="E197" s="488" t="str">
        <x:f>'原始订单'!D197</x:f>
        <x:v>小红书</x:v>
      </x:c>
      <x:c r="F197" s="488" t="str">
        <x:f>'原始订单'!E197</x:f>
        <x:v>便携补光灯</x:v>
      </x:c>
      <x:c r="G197" s="489" t="n">
        <x:f>'原始订单'!F197</x:f>
        <x:v>1</x:v>
      </x:c>
      <x:c r="H197" s="489" t="n">
        <x:f>'原始订单'!G197</x:f>
        <x:v>159</x:v>
      </x:c>
      <x:c r="I197" s="490" t="n">
        <x:f>'原始订单'!H197</x:f>
        <x:v>0</x:v>
      </x:c>
      <x:c r="J197" s="491" t="n">
        <x:f>'原始订单'!I197</x:f>
        <x:v>0</x:v>
      </x:c>
      <x:c r="K197" s="492" t="n">
        <x:f>'原始订单'!J197</x:f>
        <x:v>72</x:v>
      </x:c>
      <x:c r="L197" s="492" t="n">
        <x:f>G197*H197</x:f>
        <x:v>159</x:v>
      </x:c>
      <x:c r="M197" s="492" t="n">
        <x:f>L197*I197</x:f>
        <x:v>0</x:v>
      </x:c>
      <x:c r="N197" s="492" t="n">
        <x:f>(L197-M197)*J197</x:f>
        <x:v>0</x:v>
      </x:c>
      <x:c r="O197" s="492" t="n">
        <x:f>L197-M197-N197</x:f>
        <x:v>159</x:v>
      </x:c>
      <x:c r="P197" s="492" t="n">
        <x:f>G197*K197*(1-J197)</x:f>
        <x:v>72</x:v>
      </x:c>
      <x:c r="Q197" s="492" t="n">
        <x:f>O197-P197</x:f>
        <x:v>87</x:v>
      </x:c>
      <x:c r="R197" s="490" t="n">
        <x:f>IF(O197=0,0,Q197/O197)</x:f>
        <x:v>0.5471698113207547</x:v>
      </x:c>
      <x:c r="S197" s="488" t="str">
        <x:f>IF(J197=1,"退款",IF(I197&gt;=0.2,"高折扣","正常"))</x:f>
        <x:v>正常</x:v>
      </x:c>
    </x:row>
    <x:row r="198">
      <x:c r="A198" s="486" t="n">
        <x:f>'原始订单'!A198</x:f>
        <x:v>46224</x:v>
      </x:c>
      <x:c r="B198" s="487" t="n">
        <x:f>DATE(YEAR(A198),MONTH(A198),1)</x:f>
        <x:v>46204</x:v>
      </x:c>
      <x:c r="C198" s="488" t="str">
        <x:f>'原始订单'!B198</x:f>
        <x:v>D20260194</x:v>
      </x:c>
      <x:c r="D198" s="488" t="str">
        <x:f>'原始订单'!C198</x:f>
        <x:v>C1134</x:v>
      </x:c>
      <x:c r="E198" s="488" t="str">
        <x:f>'原始订单'!D198</x:f>
        <x:v>小红书</x:v>
      </x:c>
      <x:c r="F198" s="488" t="str">
        <x:f>'原始订单'!E198</x:f>
        <x:v>轻量旅行杯</x:v>
      </x:c>
      <x:c r="G198" s="489" t="n">
        <x:f>'原始订单'!F198</x:f>
        <x:v>1</x:v>
      </x:c>
      <x:c r="H198" s="489" t="n">
        <x:f>'原始订单'!G198</x:f>
        <x:v>129</x:v>
      </x:c>
      <x:c r="I198" s="490" t="n">
        <x:f>'原始订单'!H198</x:f>
        <x:v>0.2</x:v>
      </x:c>
      <x:c r="J198" s="491" t="n">
        <x:f>'原始订单'!I198</x:f>
        <x:v>0</x:v>
      </x:c>
      <x:c r="K198" s="492" t="n">
        <x:f>'原始订单'!J198</x:f>
        <x:v>48</x:v>
      </x:c>
      <x:c r="L198" s="492" t="n">
        <x:f>G198*H198</x:f>
        <x:v>129</x:v>
      </x:c>
      <x:c r="M198" s="492" t="n">
        <x:f>L198*I198</x:f>
        <x:v>25.8</x:v>
      </x:c>
      <x:c r="N198" s="492" t="n">
        <x:f>(L198-M198)*J198</x:f>
        <x:v>0</x:v>
      </x:c>
      <x:c r="O198" s="492" t="n">
        <x:f>L198-M198-N198</x:f>
        <x:v>103.2</x:v>
      </x:c>
      <x:c r="P198" s="492" t="n">
        <x:f>G198*K198*(1-J198)</x:f>
        <x:v>48</x:v>
      </x:c>
      <x:c r="Q198" s="492" t="n">
        <x:f>O198-P198</x:f>
        <x:v>55.2</x:v>
      </x:c>
      <x:c r="R198" s="490" t="n">
        <x:f>IF(O198=0,0,Q198/O198)</x:f>
        <x:v>0.5348837209302326</x:v>
      </x:c>
      <x:c r="S198" s="488" t="str">
        <x:f>IF(J198=1,"退款",IF(I198&gt;=0.2,"高折扣","正常"))</x:f>
        <x:v>高折扣</x:v>
      </x:c>
    </x:row>
    <x:row r="199">
      <x:c r="A199" s="486" t="n">
        <x:f>'原始订单'!A199</x:f>
        <x:v>46224</x:v>
      </x:c>
      <x:c r="B199" s="487" t="n">
        <x:f>DATE(YEAR(A199),MONTH(A199),1)</x:f>
        <x:v>46204</x:v>
      </x:c>
      <x:c r="C199" s="488" t="str">
        <x:f>'原始订单'!B199</x:f>
        <x:v>D20260195</x:v>
      </x:c>
      <x:c r="D199" s="488" t="str">
        <x:f>'原始订单'!C199</x:f>
        <x:v>C1015</x:v>
      </x:c>
      <x:c r="E199" s="488" t="str">
        <x:f>'原始订单'!D199</x:f>
        <x:v>自然搜索</x:v>
      </x:c>
      <x:c r="F199" s="488" t="str">
        <x:f>'原始订单'!E199</x:f>
        <x:v>无线标签机</x:v>
      </x:c>
      <x:c r="G199" s="489" t="n">
        <x:f>'原始订单'!F199</x:f>
        <x:v>1</x:v>
      </x:c>
      <x:c r="H199" s="489" t="n">
        <x:f>'原始订单'!G199</x:f>
        <x:v>239</x:v>
      </x:c>
      <x:c r="I199" s="490" t="n">
        <x:f>'原始订单'!H199</x:f>
        <x:v>0</x:v>
      </x:c>
      <x:c r="J199" s="491" t="n">
        <x:f>'原始订单'!I199</x:f>
        <x:v>0</x:v>
      </x:c>
      <x:c r="K199" s="492" t="n">
        <x:f>'原始订单'!J199</x:f>
        <x:v>118</x:v>
      </x:c>
      <x:c r="L199" s="492" t="n">
        <x:f>G199*H199</x:f>
        <x:v>239</x:v>
      </x:c>
      <x:c r="M199" s="492" t="n">
        <x:f>L199*I199</x:f>
        <x:v>0</x:v>
      </x:c>
      <x:c r="N199" s="492" t="n">
        <x:f>(L199-M199)*J199</x:f>
        <x:v>0</x:v>
      </x:c>
      <x:c r="O199" s="492" t="n">
        <x:f>L199-M199-N199</x:f>
        <x:v>239</x:v>
      </x:c>
      <x:c r="P199" s="492" t="n">
        <x:f>G199*K199*(1-J199)</x:f>
        <x:v>118</x:v>
      </x:c>
      <x:c r="Q199" s="492" t="n">
        <x:f>O199-P199</x:f>
        <x:v>121</x:v>
      </x:c>
      <x:c r="R199" s="490" t="n">
        <x:f>IF(O199=0,0,Q199/O199)</x:f>
        <x:v>0.5062761506276151</x:v>
      </x:c>
      <x:c r="S199" s="488" t="str">
        <x:f>IF(J199=1,"退款",IF(I199&gt;=0.2,"高折扣","正常"))</x:f>
        <x:v>正常</x:v>
      </x:c>
    </x:row>
    <x:row r="200">
      <x:c r="A200" s="486" t="n">
        <x:f>'原始订单'!A200</x:f>
        <x:v>46224</x:v>
      </x:c>
      <x:c r="B200" s="487" t="n">
        <x:f>DATE(YEAR(A200),MONTH(A200),1)</x:f>
        <x:v>46204</x:v>
      </x:c>
      <x:c r="C200" s="488" t="str">
        <x:f>'原始订单'!B200</x:f>
        <x:v>D20260196</x:v>
      </x:c>
      <x:c r="D200" s="488" t="str">
        <x:f>'原始订单'!C200</x:f>
        <x:v>C1007</x:v>
      </x:c>
      <x:c r="E200" s="488" t="str">
        <x:f>'原始订单'!D200</x:f>
        <x:v>自然搜索</x:v>
      </x:c>
      <x:c r="F200" s="488" t="str">
        <x:f>'原始订单'!E200</x:f>
        <x:v>便携补光灯</x:v>
      </x:c>
      <x:c r="G200" s="489" t="n">
        <x:f>'原始订单'!F200</x:f>
        <x:v>1</x:v>
      </x:c>
      <x:c r="H200" s="489" t="n">
        <x:f>'原始订单'!G200</x:f>
        <x:v>159</x:v>
      </x:c>
      <x:c r="I200" s="490" t="n">
        <x:f>'原始订单'!H200</x:f>
        <x:v>0.05</x:v>
      </x:c>
      <x:c r="J200" s="491" t="n">
        <x:f>'原始订单'!I200</x:f>
        <x:v>0</x:v>
      </x:c>
      <x:c r="K200" s="492" t="n">
        <x:f>'原始订单'!J200</x:f>
        <x:v>72</x:v>
      </x:c>
      <x:c r="L200" s="492" t="n">
        <x:f>G200*H200</x:f>
        <x:v>159</x:v>
      </x:c>
      <x:c r="M200" s="492" t="n">
        <x:f>L200*I200</x:f>
        <x:v>7.95</x:v>
      </x:c>
      <x:c r="N200" s="492" t="n">
        <x:f>(L200-M200)*J200</x:f>
        <x:v>0</x:v>
      </x:c>
      <x:c r="O200" s="492" t="n">
        <x:f>L200-M200-N200</x:f>
        <x:v>151.05</x:v>
      </x:c>
      <x:c r="P200" s="492" t="n">
        <x:f>G200*K200*(1-J200)</x:f>
        <x:v>72</x:v>
      </x:c>
      <x:c r="Q200" s="492" t="n">
        <x:f>O200-P200</x:f>
        <x:v>79.05000000000001</x:v>
      </x:c>
      <x:c r="R200" s="490" t="n">
        <x:f>IF(O200=0,0,Q200/O200)</x:f>
        <x:v>0.5233366434955313</x:v>
      </x:c>
      <x:c r="S200" s="488" t="str">
        <x:f>IF(J200=1,"退款",IF(I200&gt;=0.2,"高折扣","正常"))</x:f>
        <x:v>正常</x:v>
      </x:c>
    </x:row>
    <x:row r="201">
      <x:c r="A201" s="486" t="n">
        <x:f>'原始订单'!A201</x:f>
        <x:v>46225</x:v>
      </x:c>
      <x:c r="B201" s="487" t="n">
        <x:f>DATE(YEAR(A201),MONTH(A201),1)</x:f>
        <x:v>46204</x:v>
      </x:c>
      <x:c r="C201" s="488" t="str">
        <x:f>'原始订单'!B201</x:f>
        <x:v>D20260197</x:v>
      </x:c>
      <x:c r="D201" s="488" t="str">
        <x:f>'原始订单'!C201</x:f>
        <x:v>C1003</x:v>
      </x:c>
      <x:c r="E201" s="488" t="str">
        <x:f>'原始订单'!D201</x:f>
        <x:v>小红书</x:v>
      </x:c>
      <x:c r="F201" s="488" t="str">
        <x:f>'原始订单'!E201</x:f>
        <x:v>便携补光灯</x:v>
      </x:c>
      <x:c r="G201" s="489" t="n">
        <x:f>'原始订单'!F201</x:f>
        <x:v>1</x:v>
      </x:c>
      <x:c r="H201" s="489" t="n">
        <x:f>'原始订单'!G201</x:f>
        <x:v>159</x:v>
      </x:c>
      <x:c r="I201" s="490" t="n">
        <x:f>'原始订单'!H201</x:f>
        <x:v>0.05</x:v>
      </x:c>
      <x:c r="J201" s="491" t="n">
        <x:f>'原始订单'!I201</x:f>
        <x:v>0</x:v>
      </x:c>
      <x:c r="K201" s="492" t="n">
        <x:f>'原始订单'!J201</x:f>
        <x:v>72</x:v>
      </x:c>
      <x:c r="L201" s="492" t="n">
        <x:f>G201*H201</x:f>
        <x:v>159</x:v>
      </x:c>
      <x:c r="M201" s="492" t="n">
        <x:f>L201*I201</x:f>
        <x:v>7.95</x:v>
      </x:c>
      <x:c r="N201" s="492" t="n">
        <x:f>(L201-M201)*J201</x:f>
        <x:v>0</x:v>
      </x:c>
      <x:c r="O201" s="492" t="n">
        <x:f>L201-M201-N201</x:f>
        <x:v>151.05</x:v>
      </x:c>
      <x:c r="P201" s="492" t="n">
        <x:f>G201*K201*(1-J201)</x:f>
        <x:v>72</x:v>
      </x:c>
      <x:c r="Q201" s="492" t="n">
        <x:f>O201-P201</x:f>
        <x:v>79.05000000000001</x:v>
      </x:c>
      <x:c r="R201" s="490" t="n">
        <x:f>IF(O201=0,0,Q201/O201)</x:f>
        <x:v>0.5233366434955313</x:v>
      </x:c>
      <x:c r="S201" s="488" t="str">
        <x:f>IF(J201=1,"退款",IF(I201&gt;=0.2,"高折扣","正常"))</x:f>
        <x:v>正常</x:v>
      </x:c>
    </x:row>
    <x:row r="202">
      <x:c r="A202" s="486" t="n">
        <x:f>'原始订单'!A202</x:f>
        <x:v>46225</x:v>
      </x:c>
      <x:c r="B202" s="487" t="n">
        <x:f>DATE(YEAR(A202),MONTH(A202),1)</x:f>
        <x:v>46204</x:v>
      </x:c>
      <x:c r="C202" s="488" t="str">
        <x:f>'原始订单'!B202</x:f>
        <x:v>D20260198</x:v>
      </x:c>
      <x:c r="D202" s="488" t="str">
        <x:f>'原始订单'!C202</x:f>
        <x:v>C1139</x:v>
      </x:c>
      <x:c r="E202" s="488" t="str">
        <x:f>'原始订单'!D202</x:f>
        <x:v>抖音广告</x:v>
      </x:c>
      <x:c r="F202" s="488" t="str">
        <x:f>'原始订单'!E202</x:f>
        <x:v>轻量旅行杯</x:v>
      </x:c>
      <x:c r="G202" s="489" t="n">
        <x:f>'原始订单'!F202</x:f>
        <x:v>1</x:v>
      </x:c>
      <x:c r="H202" s="489" t="n">
        <x:f>'原始订单'!G202</x:f>
        <x:v>129</x:v>
      </x:c>
      <x:c r="I202" s="490" t="n">
        <x:f>'原始订单'!H202</x:f>
        <x:v>0.1</x:v>
      </x:c>
      <x:c r="J202" s="491" t="n">
        <x:f>'原始订单'!I202</x:f>
        <x:v>0</x:v>
      </x:c>
      <x:c r="K202" s="492" t="n">
        <x:f>'原始订单'!J202</x:f>
        <x:v>48</x:v>
      </x:c>
      <x:c r="L202" s="492" t="n">
        <x:f>G202*H202</x:f>
        <x:v>129</x:v>
      </x:c>
      <x:c r="M202" s="492" t="n">
        <x:f>L202*I202</x:f>
        <x:v>12.9</x:v>
      </x:c>
      <x:c r="N202" s="492" t="n">
        <x:f>(L202-M202)*J202</x:f>
        <x:v>0</x:v>
      </x:c>
      <x:c r="O202" s="492" t="n">
        <x:f>L202-M202-N202</x:f>
        <x:v>116.1</x:v>
      </x:c>
      <x:c r="P202" s="492" t="n">
        <x:f>G202*K202*(1-J202)</x:f>
        <x:v>48</x:v>
      </x:c>
      <x:c r="Q202" s="492" t="n">
        <x:f>O202-P202</x:f>
        <x:v>68.1</x:v>
      </x:c>
      <x:c r="R202" s="490" t="n">
        <x:f>IF(O202=0,0,Q202/O202)</x:f>
        <x:v>0.58656330749354</x:v>
      </x:c>
      <x:c r="S202" s="488" t="str">
        <x:f>IF(J202=1,"退款",IF(I202&gt;=0.2,"高折扣","正常"))</x:f>
        <x:v>正常</x:v>
      </x:c>
    </x:row>
    <x:row r="203">
      <x:c r="A203" s="486" t="n">
        <x:f>'原始订单'!A203</x:f>
        <x:v>46225</x:v>
      </x:c>
      <x:c r="B203" s="487" t="n">
        <x:f>DATE(YEAR(A203),MONTH(A203),1)</x:f>
        <x:v>46204</x:v>
      </x:c>
      <x:c r="C203" s="488" t="str">
        <x:f>'原始订单'!B203</x:f>
        <x:v>D20260199</x:v>
      </x:c>
      <x:c r="D203" s="488" t="str">
        <x:f>'原始订单'!C203</x:f>
        <x:v>C1010</x:v>
      </x:c>
      <x:c r="E203" s="488" t="str">
        <x:f>'原始订单'!D203</x:f>
        <x:v>抖音广告</x:v>
      </x:c>
      <x:c r="F203" s="488" t="str">
        <x:f>'原始订单'!E203</x:f>
        <x:v>桌面收纳架</x:v>
      </x:c>
      <x:c r="G203" s="489" t="n">
        <x:f>'原始订单'!F203</x:f>
        <x:v>1</x:v>
      </x:c>
      <x:c r="H203" s="489" t="n">
        <x:f>'原始订单'!G203</x:f>
        <x:v>89</x:v>
      </x:c>
      <x:c r="I203" s="490" t="n">
        <x:f>'原始订单'!H203</x:f>
        <x:v>0.05</x:v>
      </x:c>
      <x:c r="J203" s="491" t="n">
        <x:f>'原始订单'!I203</x:f>
        <x:v>0</x:v>
      </x:c>
      <x:c r="K203" s="492" t="n">
        <x:f>'原始订单'!J203</x:f>
        <x:v>32</x:v>
      </x:c>
      <x:c r="L203" s="492" t="n">
        <x:f>G203*H203</x:f>
        <x:v>89</x:v>
      </x:c>
      <x:c r="M203" s="492" t="n">
        <x:f>L203*I203</x:f>
        <x:v>4.45</x:v>
      </x:c>
      <x:c r="N203" s="492" t="n">
        <x:f>(L203-M203)*J203</x:f>
        <x:v>0</x:v>
      </x:c>
      <x:c r="O203" s="492" t="n">
        <x:f>L203-M203-N203</x:f>
        <x:v>84.55</x:v>
      </x:c>
      <x:c r="P203" s="492" t="n">
        <x:f>G203*K203*(1-J203)</x:f>
        <x:v>32</x:v>
      </x:c>
      <x:c r="Q203" s="492" t="n">
        <x:f>O203-P203</x:f>
        <x:v>52.55</x:v>
      </x:c>
      <x:c r="R203" s="490" t="n">
        <x:f>IF(O203=0,0,Q203/O203)</x:f>
        <x:v>0.6215257244234181</x:v>
      </x:c>
      <x:c r="S203" s="488" t="str">
        <x:f>IF(J203=1,"退款",IF(I203&gt;=0.2,"高折扣","正常"))</x:f>
        <x:v>正常</x:v>
      </x:c>
    </x:row>
    <x:row r="204">
      <x:c r="A204" s="486" t="n">
        <x:f>'原始订单'!A204</x:f>
        <x:v>46226</x:v>
      </x:c>
      <x:c r="B204" s="487" t="n">
        <x:f>DATE(YEAR(A204),MONTH(A204),1)</x:f>
        <x:v>46204</x:v>
      </x:c>
      <x:c r="C204" s="488" t="str">
        <x:f>'原始订单'!B204</x:f>
        <x:v>D20260200</x:v>
      </x:c>
      <x:c r="D204" s="488" t="str">
        <x:f>'原始订单'!C204</x:f>
        <x:v>C1005</x:v>
      </x:c>
      <x:c r="E204" s="488" t="str">
        <x:f>'原始订单'!D204</x:f>
        <x:v>抖音广告</x:v>
      </x:c>
      <x:c r="F204" s="488" t="str">
        <x:f>'原始订单'!E204</x:f>
        <x:v>轻量旅行杯</x:v>
      </x:c>
      <x:c r="G204" s="489" t="n">
        <x:f>'原始订单'!F204</x:f>
        <x:v>1</x:v>
      </x:c>
      <x:c r="H204" s="489" t="n">
        <x:f>'原始订单'!G204</x:f>
        <x:v>129</x:v>
      </x:c>
      <x:c r="I204" s="490" t="n">
        <x:f>'原始订单'!H204</x:f>
        <x:v>0</x:v>
      </x:c>
      <x:c r="J204" s="491" t="n">
        <x:f>'原始订单'!I204</x:f>
        <x:v>0</x:v>
      </x:c>
      <x:c r="K204" s="492" t="n">
        <x:f>'原始订单'!J204</x:f>
        <x:v>48</x:v>
      </x:c>
      <x:c r="L204" s="492" t="n">
        <x:f>G204*H204</x:f>
        <x:v>129</x:v>
      </x:c>
      <x:c r="M204" s="492" t="n">
        <x:f>L204*I204</x:f>
        <x:v>0</x:v>
      </x:c>
      <x:c r="N204" s="492" t="n">
        <x:f>(L204-M204)*J204</x:f>
        <x:v>0</x:v>
      </x:c>
      <x:c r="O204" s="492" t="n">
        <x:f>L204-M204-N204</x:f>
        <x:v>129</x:v>
      </x:c>
      <x:c r="P204" s="492" t="n">
        <x:f>G204*K204*(1-J204)</x:f>
        <x:v>48</x:v>
      </x:c>
      <x:c r="Q204" s="492" t="n">
        <x:f>O204-P204</x:f>
        <x:v>81</x:v>
      </x:c>
      <x:c r="R204" s="490" t="n">
        <x:f>IF(O204=0,0,Q204/O204)</x:f>
        <x:v>0.627906976744186</x:v>
      </x:c>
      <x:c r="S204" s="488" t="str">
        <x:f>IF(J204=1,"退款",IF(I204&gt;=0.2,"高折扣","正常"))</x:f>
        <x:v>正常</x:v>
      </x:c>
    </x:row>
    <x:row r="205">
      <x:c r="A205" s="486" t="n">
        <x:f>'原始订单'!A205</x:f>
        <x:v>46226</x:v>
      </x:c>
      <x:c r="B205" s="487" t="n">
        <x:f>DATE(YEAR(A205),MONTH(A205),1)</x:f>
        <x:v>46204</x:v>
      </x:c>
      <x:c r="C205" s="488" t="str">
        <x:f>'原始订单'!B205</x:f>
        <x:v>D20260201</x:v>
      </x:c>
      <x:c r="D205" s="488" t="str">
        <x:f>'原始订单'!C205</x:f>
        <x:v>C1001</x:v>
      </x:c>
      <x:c r="E205" s="488" t="str">
        <x:f>'原始订单'!D205</x:f>
        <x:v>小红书</x:v>
      </x:c>
      <x:c r="F205" s="488" t="str">
        <x:f>'原始订单'!E205</x:f>
        <x:v>便携补光灯</x:v>
      </x:c>
      <x:c r="G205" s="489" t="n">
        <x:f>'原始订单'!F205</x:f>
        <x:v>1</x:v>
      </x:c>
      <x:c r="H205" s="489" t="n">
        <x:f>'原始订单'!G205</x:f>
        <x:v>159</x:v>
      </x:c>
      <x:c r="I205" s="490" t="n">
        <x:f>'原始订单'!H205</x:f>
        <x:v>0.1</x:v>
      </x:c>
      <x:c r="J205" s="491" t="n">
        <x:f>'原始订单'!I205</x:f>
        <x:v>0</x:v>
      </x:c>
      <x:c r="K205" s="492" t="n">
        <x:f>'原始订单'!J205</x:f>
        <x:v>72</x:v>
      </x:c>
      <x:c r="L205" s="492" t="n">
        <x:f>G205*H205</x:f>
        <x:v>159</x:v>
      </x:c>
      <x:c r="M205" s="492" t="n">
        <x:f>L205*I205</x:f>
        <x:v>15.9</x:v>
      </x:c>
      <x:c r="N205" s="492" t="n">
        <x:f>(L205-M205)*J205</x:f>
        <x:v>0</x:v>
      </x:c>
      <x:c r="O205" s="492" t="n">
        <x:f>L205-M205-N205</x:f>
        <x:v>143.1</x:v>
      </x:c>
      <x:c r="P205" s="492" t="n">
        <x:f>G205*K205*(1-J205)</x:f>
        <x:v>72</x:v>
      </x:c>
      <x:c r="Q205" s="492" t="n">
        <x:f>O205-P205</x:f>
        <x:v>71.1</x:v>
      </x:c>
      <x:c r="R205" s="490" t="n">
        <x:f>IF(O205=0,0,Q205/O205)</x:f>
        <x:v>0.4968553459119497</x:v>
      </x:c>
      <x:c r="S205" s="488" t="str">
        <x:f>IF(J205=1,"退款",IF(I205&gt;=0.2,"高折扣","正常"))</x:f>
        <x:v>正常</x:v>
      </x:c>
    </x:row>
    <x:row r="206">
      <x:c r="A206" s="486" t="n">
        <x:f>'原始订单'!A206</x:f>
        <x:v>46226</x:v>
      </x:c>
      <x:c r="B206" s="487" t="n">
        <x:f>DATE(YEAR(A206),MONTH(A206),1)</x:f>
        <x:v>46204</x:v>
      </x:c>
      <x:c r="C206" s="488" t="str">
        <x:f>'原始订单'!B206</x:f>
        <x:v>D20260202</x:v>
      </x:c>
      <x:c r="D206" s="488" t="str">
        <x:f>'原始订单'!C206</x:f>
        <x:v>C1073</x:v>
      </x:c>
      <x:c r="E206" s="488" t="str">
        <x:f>'原始订单'!D206</x:f>
        <x:v>抖音广告</x:v>
      </x:c>
      <x:c r="F206" s="488" t="str">
        <x:f>'原始订单'!E206</x:f>
        <x:v>轻量旅行杯</x:v>
      </x:c>
      <x:c r="G206" s="489" t="n">
        <x:f>'原始订单'!F206</x:f>
        <x:v>1</x:v>
      </x:c>
      <x:c r="H206" s="489" t="n">
        <x:f>'原始订单'!G206</x:f>
        <x:v>129</x:v>
      </x:c>
      <x:c r="I206" s="490" t="n">
        <x:f>'原始订单'!H206</x:f>
        <x:v>0.05</x:v>
      </x:c>
      <x:c r="J206" s="491" t="n">
        <x:f>'原始订单'!I206</x:f>
        <x:v>0</x:v>
      </x:c>
      <x:c r="K206" s="492" t="n">
        <x:f>'原始订单'!J206</x:f>
        <x:v>48</x:v>
      </x:c>
      <x:c r="L206" s="492" t="n">
        <x:f>G206*H206</x:f>
        <x:v>129</x:v>
      </x:c>
      <x:c r="M206" s="492" t="n">
        <x:f>L206*I206</x:f>
        <x:v>6.45</x:v>
      </x:c>
      <x:c r="N206" s="492" t="n">
        <x:f>(L206-M206)*J206</x:f>
        <x:v>0</x:v>
      </x:c>
      <x:c r="O206" s="492" t="n">
        <x:f>L206-M206-N206</x:f>
        <x:v>122.55</x:v>
      </x:c>
      <x:c r="P206" s="492" t="n">
        <x:f>G206*K206*(1-J206)</x:f>
        <x:v>48</x:v>
      </x:c>
      <x:c r="Q206" s="492" t="n">
        <x:f>O206-P206</x:f>
        <x:v>74.55</x:v>
      </x:c>
      <x:c r="R206" s="490" t="n">
        <x:f>IF(O206=0,0,Q206/O206)</x:f>
        <x:v>0.6083231334149327</x:v>
      </x:c>
      <x:c r="S206" s="488" t="str">
        <x:f>IF(J206=1,"退款",IF(I206&gt;=0.2,"高折扣","正常"))</x:f>
        <x:v>正常</x:v>
      </x:c>
    </x:row>
    <x:row r="207">
      <x:c r="A207" s="486" t="n">
        <x:f>'原始订单'!A207</x:f>
        <x:v>46227</x:v>
      </x:c>
      <x:c r="B207" s="487" t="n">
        <x:f>DATE(YEAR(A207),MONTH(A207),1)</x:f>
        <x:v>46204</x:v>
      </x:c>
      <x:c r="C207" s="488" t="str">
        <x:f>'原始订单'!B207</x:f>
        <x:v>D20260203</x:v>
      </x:c>
      <x:c r="D207" s="488" t="str">
        <x:f>'原始订单'!C207</x:f>
        <x:v>C1089</x:v>
      </x:c>
      <x:c r="E207" s="488" t="str">
        <x:f>'原始订单'!D207</x:f>
        <x:v>抖音广告</x:v>
      </x:c>
      <x:c r="F207" s="488" t="str">
        <x:f>'原始订单'!E207</x:f>
        <x:v>便携补光灯</x:v>
      </x:c>
      <x:c r="G207" s="489" t="n">
        <x:f>'原始订单'!F207</x:f>
        <x:v>1</x:v>
      </x:c>
      <x:c r="H207" s="489" t="n">
        <x:f>'原始订单'!G207</x:f>
        <x:v>159</x:v>
      </x:c>
      <x:c r="I207" s="490" t="n">
        <x:f>'原始订单'!H207</x:f>
        <x:v>0</x:v>
      </x:c>
      <x:c r="J207" s="491" t="n">
        <x:f>'原始订单'!I207</x:f>
        <x:v>0</x:v>
      </x:c>
      <x:c r="K207" s="492" t="n">
        <x:f>'原始订单'!J207</x:f>
        <x:v>72</x:v>
      </x:c>
      <x:c r="L207" s="492" t="n">
        <x:f>G207*H207</x:f>
        <x:v>159</x:v>
      </x:c>
      <x:c r="M207" s="492" t="n">
        <x:f>L207*I207</x:f>
        <x:v>0</x:v>
      </x:c>
      <x:c r="N207" s="492" t="n">
        <x:f>(L207-M207)*J207</x:f>
        <x:v>0</x:v>
      </x:c>
      <x:c r="O207" s="492" t="n">
        <x:f>L207-M207-N207</x:f>
        <x:v>159</x:v>
      </x:c>
      <x:c r="P207" s="492" t="n">
        <x:f>G207*K207*(1-J207)</x:f>
        <x:v>72</x:v>
      </x:c>
      <x:c r="Q207" s="492" t="n">
        <x:f>O207-P207</x:f>
        <x:v>87</x:v>
      </x:c>
      <x:c r="R207" s="490" t="n">
        <x:f>IF(O207=0,0,Q207/O207)</x:f>
        <x:v>0.5471698113207547</x:v>
      </x:c>
      <x:c r="S207" s="488" t="str">
        <x:f>IF(J207=1,"退款",IF(I207&gt;=0.2,"高折扣","正常"))</x:f>
        <x:v>正常</x:v>
      </x:c>
    </x:row>
    <x:row r="208">
      <x:c r="A208" s="486" t="n">
        <x:f>'原始订单'!A208</x:f>
        <x:v>46227</x:v>
      </x:c>
      <x:c r="B208" s="487" t="n">
        <x:f>DATE(YEAR(A208),MONTH(A208),1)</x:f>
        <x:v>46204</x:v>
      </x:c>
      <x:c r="C208" s="488" t="str">
        <x:f>'原始订单'!B208</x:f>
        <x:v>D20260204</x:v>
      </x:c>
      <x:c r="D208" s="488" t="str">
        <x:f>'原始订单'!C208</x:f>
        <x:v>C1103</x:v>
      </x:c>
      <x:c r="E208" s="488" t="str">
        <x:f>'原始订单'!D208</x:f>
        <x:v>小红书</x:v>
      </x:c>
      <x:c r="F208" s="488" t="str">
        <x:f>'原始订单'!E208</x:f>
        <x:v>桌面收纳架</x:v>
      </x:c>
      <x:c r="G208" s="489" t="n">
        <x:f>'原始订单'!F208</x:f>
        <x:v>1</x:v>
      </x:c>
      <x:c r="H208" s="489" t="n">
        <x:f>'原始订单'!G208</x:f>
        <x:v>89</x:v>
      </x:c>
      <x:c r="I208" s="490" t="n">
        <x:f>'原始订单'!H208</x:f>
        <x:v>0.05</x:v>
      </x:c>
      <x:c r="J208" s="491" t="n">
        <x:f>'原始订单'!I208</x:f>
        <x:v>0</x:v>
      </x:c>
      <x:c r="K208" s="492" t="n">
        <x:f>'原始订单'!J208</x:f>
        <x:v>32</x:v>
      </x:c>
      <x:c r="L208" s="492" t="n">
        <x:f>G208*H208</x:f>
        <x:v>89</x:v>
      </x:c>
      <x:c r="M208" s="492" t="n">
        <x:f>L208*I208</x:f>
        <x:v>4.45</x:v>
      </x:c>
      <x:c r="N208" s="492" t="n">
        <x:f>(L208-M208)*J208</x:f>
        <x:v>0</x:v>
      </x:c>
      <x:c r="O208" s="492" t="n">
        <x:f>L208-M208-N208</x:f>
        <x:v>84.55</x:v>
      </x:c>
      <x:c r="P208" s="492" t="n">
        <x:f>G208*K208*(1-J208)</x:f>
        <x:v>32</x:v>
      </x:c>
      <x:c r="Q208" s="492" t="n">
        <x:f>O208-P208</x:f>
        <x:v>52.55</x:v>
      </x:c>
      <x:c r="R208" s="490" t="n">
        <x:f>IF(O208=0,0,Q208/O208)</x:f>
        <x:v>0.6215257244234181</x:v>
      </x:c>
      <x:c r="S208" s="488" t="str">
        <x:f>IF(J208=1,"退款",IF(I208&gt;=0.2,"高折扣","正常"))</x:f>
        <x:v>正常</x:v>
      </x:c>
    </x:row>
    <x:row r="209">
      <x:c r="A209" s="486" t="n">
        <x:f>'原始订单'!A209</x:f>
        <x:v>46227</x:v>
      </x:c>
      <x:c r="B209" s="487" t="n">
        <x:f>DATE(YEAR(A209),MONTH(A209),1)</x:f>
        <x:v>46204</x:v>
      </x:c>
      <x:c r="C209" s="488" t="str">
        <x:f>'原始订单'!B209</x:f>
        <x:v>D20260205</x:v>
      </x:c>
      <x:c r="D209" s="488" t="str">
        <x:f>'原始订单'!C209</x:f>
        <x:v>C1090</x:v>
      </x:c>
      <x:c r="E209" s="488" t="str">
        <x:f>'原始订单'!D209</x:f>
        <x:v>抖音广告</x:v>
      </x:c>
      <x:c r="F209" s="488" t="str">
        <x:f>'原始订单'!E209</x:f>
        <x:v>无线标签机</x:v>
      </x:c>
      <x:c r="G209" s="489" t="n">
        <x:f>'原始订单'!F209</x:f>
        <x:v>1</x:v>
      </x:c>
      <x:c r="H209" s="489" t="n">
        <x:f>'原始订单'!G209</x:f>
        <x:v>239</x:v>
      </x:c>
      <x:c r="I209" s="490" t="n">
        <x:f>'原始订单'!H209</x:f>
        <x:v>0</x:v>
      </x:c>
      <x:c r="J209" s="491" t="n">
        <x:f>'原始订单'!I209</x:f>
        <x:v>0</x:v>
      </x:c>
      <x:c r="K209" s="492" t="n">
        <x:f>'原始订单'!J209</x:f>
        <x:v>118</x:v>
      </x:c>
      <x:c r="L209" s="492" t="n">
        <x:f>G209*H209</x:f>
        <x:v>239</x:v>
      </x:c>
      <x:c r="M209" s="492" t="n">
        <x:f>L209*I209</x:f>
        <x:v>0</x:v>
      </x:c>
      <x:c r="N209" s="492" t="n">
        <x:f>(L209-M209)*J209</x:f>
        <x:v>0</x:v>
      </x:c>
      <x:c r="O209" s="492" t="n">
        <x:f>L209-M209-N209</x:f>
        <x:v>239</x:v>
      </x:c>
      <x:c r="P209" s="492" t="n">
        <x:f>G209*K209*(1-J209)</x:f>
        <x:v>118</x:v>
      </x:c>
      <x:c r="Q209" s="492" t="n">
        <x:f>O209-P209</x:f>
        <x:v>121</x:v>
      </x:c>
      <x:c r="R209" s="490" t="n">
        <x:f>IF(O209=0,0,Q209/O209)</x:f>
        <x:v>0.5062761506276151</x:v>
      </x:c>
      <x:c r="S209" s="488" t="str">
        <x:f>IF(J209=1,"退款",IF(I209&gt;=0.2,"高折扣","正常"))</x:f>
        <x:v>正常</x:v>
      </x:c>
    </x:row>
    <x:row r="210">
      <x:c r="A210" s="486" t="n">
        <x:f>'原始订单'!A210</x:f>
        <x:v>46228</x:v>
      </x:c>
      <x:c r="B210" s="487" t="n">
        <x:f>DATE(YEAR(A210),MONTH(A210),1)</x:f>
        <x:v>46204</x:v>
      </x:c>
      <x:c r="C210" s="488" t="str">
        <x:f>'原始订单'!B210</x:f>
        <x:v>D20260206</x:v>
      </x:c>
      <x:c r="D210" s="488" t="str">
        <x:f>'原始订单'!C210</x:f>
        <x:v>C1021</x:v>
      </x:c>
      <x:c r="E210" s="488" t="str">
        <x:f>'原始订单'!D210</x:f>
        <x:v>自然搜索</x:v>
      </x:c>
      <x:c r="F210" s="488" t="str">
        <x:f>'原始订单'!E210</x:f>
        <x:v>轻量旅行杯</x:v>
      </x:c>
      <x:c r="G210" s="489" t="n">
        <x:f>'原始订单'!F210</x:f>
        <x:v>2</x:v>
      </x:c>
      <x:c r="H210" s="489" t="n">
        <x:f>'原始订单'!G210</x:f>
        <x:v>129</x:v>
      </x:c>
      <x:c r="I210" s="490" t="n">
        <x:f>'原始订单'!H210</x:f>
        <x:v>0.1</x:v>
      </x:c>
      <x:c r="J210" s="491" t="n">
        <x:f>'原始订单'!I210</x:f>
        <x:v>0</x:v>
      </x:c>
      <x:c r="K210" s="492" t="n">
        <x:f>'原始订单'!J210</x:f>
        <x:v>48</x:v>
      </x:c>
      <x:c r="L210" s="492" t="n">
        <x:f>G210*H210</x:f>
        <x:v>258</x:v>
      </x:c>
      <x:c r="M210" s="492" t="n">
        <x:f>L210*I210</x:f>
        <x:v>25.8</x:v>
      </x:c>
      <x:c r="N210" s="492" t="n">
        <x:f>(L210-M210)*J210</x:f>
        <x:v>0</x:v>
      </x:c>
      <x:c r="O210" s="492" t="n">
        <x:f>L210-M210-N210</x:f>
        <x:v>232.2</x:v>
      </x:c>
      <x:c r="P210" s="492" t="n">
        <x:f>G210*K210*(1-J210)</x:f>
        <x:v>96</x:v>
      </x:c>
      <x:c r="Q210" s="492" t="n">
        <x:f>O210-P210</x:f>
        <x:v>136.2</x:v>
      </x:c>
      <x:c r="R210" s="490" t="n">
        <x:f>IF(O210=0,0,Q210/O210)</x:f>
        <x:v>0.58656330749354</x:v>
      </x:c>
      <x:c r="S210" s="488" t="str">
        <x:f>IF(J210=1,"退款",IF(I210&gt;=0.2,"高折扣","正常"))</x:f>
        <x:v>正常</x:v>
      </x:c>
    </x:row>
    <x:row r="211">
      <x:c r="A211" s="486" t="n">
        <x:f>'原始订单'!A211</x:f>
        <x:v>46228</x:v>
      </x:c>
      <x:c r="B211" s="487" t="n">
        <x:f>DATE(YEAR(A211),MONTH(A211),1)</x:f>
        <x:v>46204</x:v>
      </x:c>
      <x:c r="C211" s="488" t="str">
        <x:f>'原始订单'!B211</x:f>
        <x:v>D20260207</x:v>
      </x:c>
      <x:c r="D211" s="488" t="str">
        <x:f>'原始订单'!C211</x:f>
        <x:v>C1018</x:v>
      </x:c>
      <x:c r="E211" s="488" t="str">
        <x:f>'原始订单'!D211</x:f>
        <x:v>抖音广告</x:v>
      </x:c>
      <x:c r="F211" s="488" t="str">
        <x:f>'原始订单'!E211</x:f>
        <x:v>轻量旅行杯</x:v>
      </x:c>
      <x:c r="G211" s="489" t="n">
        <x:f>'原始订单'!F211</x:f>
        <x:v>1</x:v>
      </x:c>
      <x:c r="H211" s="489" t="n">
        <x:f>'原始订单'!G211</x:f>
        <x:v>129</x:v>
      </x:c>
      <x:c r="I211" s="490" t="n">
        <x:f>'原始订单'!H211</x:f>
        <x:v>0</x:v>
      </x:c>
      <x:c r="J211" s="491" t="n">
        <x:f>'原始订单'!I211</x:f>
        <x:v>0</x:v>
      </x:c>
      <x:c r="K211" s="492" t="n">
        <x:f>'原始订单'!J211</x:f>
        <x:v>48</x:v>
      </x:c>
      <x:c r="L211" s="492" t="n">
        <x:f>G211*H211</x:f>
        <x:v>129</x:v>
      </x:c>
      <x:c r="M211" s="492" t="n">
        <x:f>L211*I211</x:f>
        <x:v>0</x:v>
      </x:c>
      <x:c r="N211" s="492" t="n">
        <x:f>(L211-M211)*J211</x:f>
        <x:v>0</x:v>
      </x:c>
      <x:c r="O211" s="492" t="n">
        <x:f>L211-M211-N211</x:f>
        <x:v>129</x:v>
      </x:c>
      <x:c r="P211" s="492" t="n">
        <x:f>G211*K211*(1-J211)</x:f>
        <x:v>48</x:v>
      </x:c>
      <x:c r="Q211" s="492" t="n">
        <x:f>O211-P211</x:f>
        <x:v>81</x:v>
      </x:c>
      <x:c r="R211" s="490" t="n">
        <x:f>IF(O211=0,0,Q211/O211)</x:f>
        <x:v>0.627906976744186</x:v>
      </x:c>
      <x:c r="S211" s="488" t="str">
        <x:f>IF(J211=1,"退款",IF(I211&gt;=0.2,"高折扣","正常"))</x:f>
        <x:v>正常</x:v>
      </x:c>
    </x:row>
    <x:row r="212">
      <x:c r="A212" s="486" t="n">
        <x:f>'原始订单'!A212</x:f>
        <x:v>46230</x:v>
      </x:c>
      <x:c r="B212" s="487" t="n">
        <x:f>DATE(YEAR(A212),MONTH(A212),1)</x:f>
        <x:v>46204</x:v>
      </x:c>
      <x:c r="C212" s="488" t="str">
        <x:f>'原始订单'!B212</x:f>
        <x:v>D20260208</x:v>
      </x:c>
      <x:c r="D212" s="488" t="str">
        <x:f>'原始订单'!C212</x:f>
        <x:v>C1039</x:v>
      </x:c>
      <x:c r="E212" s="488" t="str">
        <x:f>'原始订单'!D212</x:f>
        <x:v>抖音广告</x:v>
      </x:c>
      <x:c r="F212" s="488" t="str">
        <x:f>'原始订单'!E212</x:f>
        <x:v>便携补光灯</x:v>
      </x:c>
      <x:c r="G212" s="489" t="n">
        <x:f>'原始订单'!F212</x:f>
        <x:v>2</x:v>
      </x:c>
      <x:c r="H212" s="489" t="n">
        <x:f>'原始订单'!G212</x:f>
        <x:v>159</x:v>
      </x:c>
      <x:c r="I212" s="490" t="n">
        <x:f>'原始订单'!H212</x:f>
        <x:v>0.05</x:v>
      </x:c>
      <x:c r="J212" s="491" t="n">
        <x:f>'原始订单'!I212</x:f>
        <x:v>0</x:v>
      </x:c>
      <x:c r="K212" s="492" t="n">
        <x:f>'原始订单'!J212</x:f>
        <x:v>72</x:v>
      </x:c>
      <x:c r="L212" s="492" t="n">
        <x:f>G212*H212</x:f>
        <x:v>318</x:v>
      </x:c>
      <x:c r="M212" s="492" t="n">
        <x:f>L212*I212</x:f>
        <x:v>15.9</x:v>
      </x:c>
      <x:c r="N212" s="492" t="n">
        <x:f>(L212-M212)*J212</x:f>
        <x:v>0</x:v>
      </x:c>
      <x:c r="O212" s="492" t="n">
        <x:f>L212-M212-N212</x:f>
        <x:v>302.1</x:v>
      </x:c>
      <x:c r="P212" s="492" t="n">
        <x:f>G212*K212*(1-J212)</x:f>
        <x:v>144</x:v>
      </x:c>
      <x:c r="Q212" s="492" t="n">
        <x:f>O212-P212</x:f>
        <x:v>158.10000000000002</x:v>
      </x:c>
      <x:c r="R212" s="490" t="n">
        <x:f>IF(O212=0,0,Q212/O212)</x:f>
        <x:v>0.5233366434955313</x:v>
      </x:c>
      <x:c r="S212" s="488" t="str">
        <x:f>IF(J212=1,"退款",IF(I212&gt;=0.2,"高折扣","正常"))</x:f>
        <x:v>正常</x:v>
      </x:c>
    </x:row>
    <x:row r="213">
      <x:c r="A213" s="486" t="n">
        <x:f>'原始订单'!A213</x:f>
        <x:v>46230</x:v>
      </x:c>
      <x:c r="B213" s="487" t="n">
        <x:f>DATE(YEAR(A213),MONTH(A213),1)</x:f>
        <x:v>46204</x:v>
      </x:c>
      <x:c r="C213" s="488" t="str">
        <x:f>'原始订单'!B213</x:f>
        <x:v>D20260209</x:v>
      </x:c>
      <x:c r="D213" s="488" t="str">
        <x:f>'原始订单'!C213</x:f>
        <x:v>C1042</x:v>
      </x:c>
      <x:c r="E213" s="488" t="str">
        <x:f>'原始订单'!D213</x:f>
        <x:v>老客复购</x:v>
      </x:c>
      <x:c r="F213" s="488" t="str">
        <x:f>'原始订单'!E213</x:f>
        <x:v>便携补光灯</x:v>
      </x:c>
      <x:c r="G213" s="489" t="n">
        <x:f>'原始订单'!F213</x:f>
        <x:v>1</x:v>
      </x:c>
      <x:c r="H213" s="489" t="n">
        <x:f>'原始订单'!G213</x:f>
        <x:v>159</x:v>
      </x:c>
      <x:c r="I213" s="490" t="n">
        <x:f>'原始订单'!H213</x:f>
        <x:v>0.05</x:v>
      </x:c>
      <x:c r="J213" s="491" t="n">
        <x:f>'原始订单'!I213</x:f>
        <x:v>0</x:v>
      </x:c>
      <x:c r="K213" s="492" t="n">
        <x:f>'原始订单'!J213</x:f>
        <x:v>72</x:v>
      </x:c>
      <x:c r="L213" s="492" t="n">
        <x:f>G213*H213</x:f>
        <x:v>159</x:v>
      </x:c>
      <x:c r="M213" s="492" t="n">
        <x:f>L213*I213</x:f>
        <x:v>7.95</x:v>
      </x:c>
      <x:c r="N213" s="492" t="n">
        <x:f>(L213-M213)*J213</x:f>
        <x:v>0</x:v>
      </x:c>
      <x:c r="O213" s="492" t="n">
        <x:f>L213-M213-N213</x:f>
        <x:v>151.05</x:v>
      </x:c>
      <x:c r="P213" s="492" t="n">
        <x:f>G213*K213*(1-J213)</x:f>
        <x:v>72</x:v>
      </x:c>
      <x:c r="Q213" s="492" t="n">
        <x:f>O213-P213</x:f>
        <x:v>79.05000000000001</x:v>
      </x:c>
      <x:c r="R213" s="490" t="n">
        <x:f>IF(O213=0,0,Q213/O213)</x:f>
        <x:v>0.5233366434955313</x:v>
      </x:c>
      <x:c r="S213" s="488" t="str">
        <x:f>IF(J213=1,"退款",IF(I213&gt;=0.2,"高折扣","正常"))</x:f>
        <x:v>正常</x:v>
      </x:c>
    </x:row>
    <x:row r="214">
      <x:c r="A214" s="486" t="n">
        <x:f>'原始订单'!A214</x:f>
        <x:v>46230</x:v>
      </x:c>
      <x:c r="B214" s="487" t="n">
        <x:f>DATE(YEAR(A214),MONTH(A214),1)</x:f>
        <x:v>46204</x:v>
      </x:c>
      <x:c r="C214" s="488" t="str">
        <x:f>'原始订单'!B214</x:f>
        <x:v>D20260210</x:v>
      </x:c>
      <x:c r="D214" s="488" t="str">
        <x:f>'原始订单'!C214</x:f>
        <x:v>C1038</x:v>
      </x:c>
      <x:c r="E214" s="488" t="str">
        <x:f>'原始订单'!D214</x:f>
        <x:v>小红书</x:v>
      </x:c>
      <x:c r="F214" s="488" t="str">
        <x:f>'原始订单'!E214</x:f>
        <x:v>便携补光灯</x:v>
      </x:c>
      <x:c r="G214" s="489" t="n">
        <x:f>'原始订单'!F214</x:f>
        <x:v>1</x:v>
      </x:c>
      <x:c r="H214" s="489" t="n">
        <x:f>'原始订单'!G214</x:f>
        <x:v>159</x:v>
      </x:c>
      <x:c r="I214" s="490" t="n">
        <x:f>'原始订单'!H214</x:f>
        <x:v>0</x:v>
      </x:c>
      <x:c r="J214" s="491" t="n">
        <x:f>'原始订单'!I214</x:f>
        <x:v>0</x:v>
      </x:c>
      <x:c r="K214" s="492" t="n">
        <x:f>'原始订单'!J214</x:f>
        <x:v>72</x:v>
      </x:c>
      <x:c r="L214" s="492" t="n">
        <x:f>G214*H214</x:f>
        <x:v>159</x:v>
      </x:c>
      <x:c r="M214" s="492" t="n">
        <x:f>L214*I214</x:f>
        <x:v>0</x:v>
      </x:c>
      <x:c r="N214" s="492" t="n">
        <x:f>(L214-M214)*J214</x:f>
        <x:v>0</x:v>
      </x:c>
      <x:c r="O214" s="492" t="n">
        <x:f>L214-M214-N214</x:f>
        <x:v>159</x:v>
      </x:c>
      <x:c r="P214" s="492" t="n">
        <x:f>G214*K214*(1-J214)</x:f>
        <x:v>72</x:v>
      </x:c>
      <x:c r="Q214" s="492" t="n">
        <x:f>O214-P214</x:f>
        <x:v>87</x:v>
      </x:c>
      <x:c r="R214" s="490" t="n">
        <x:f>IF(O214=0,0,Q214/O214)</x:f>
        <x:v>0.5471698113207547</x:v>
      </x:c>
      <x:c r="S214" s="488" t="str">
        <x:f>IF(J214=1,"退款",IF(I214&gt;=0.2,"高折扣","正常"))</x:f>
        <x:v>正常</x:v>
      </x:c>
    </x:row>
    <x:row r="215">
      <x:c r="A215" s="486" t="n">
        <x:f>'原始订单'!A215</x:f>
        <x:v>46230</x:v>
      </x:c>
      <x:c r="B215" s="487" t="n">
        <x:f>DATE(YEAR(A215),MONTH(A215),1)</x:f>
        <x:v>46204</x:v>
      </x:c>
      <x:c r="C215" s="488" t="str">
        <x:f>'原始订单'!B215</x:f>
        <x:v>D20260211</x:v>
      </x:c>
      <x:c r="D215" s="488" t="str">
        <x:f>'原始订单'!C215</x:f>
        <x:v>C1121</x:v>
      </x:c>
      <x:c r="E215" s="488" t="str">
        <x:f>'原始订单'!D215</x:f>
        <x:v>小红书</x:v>
      </x:c>
      <x:c r="F215" s="488" t="str">
        <x:f>'原始订单'!E215</x:f>
        <x:v>桌面收纳架</x:v>
      </x:c>
      <x:c r="G215" s="489" t="n">
        <x:f>'原始订单'!F215</x:f>
        <x:v>1</x:v>
      </x:c>
      <x:c r="H215" s="489" t="n">
        <x:f>'原始订单'!G215</x:f>
        <x:v>89</x:v>
      </x:c>
      <x:c r="I215" s="490" t="n">
        <x:f>'原始订单'!H215</x:f>
        <x:v>0.05</x:v>
      </x:c>
      <x:c r="J215" s="491" t="n">
        <x:f>'原始订单'!I215</x:f>
        <x:v>0</x:v>
      </x:c>
      <x:c r="K215" s="492" t="n">
        <x:f>'原始订单'!J215</x:f>
        <x:v>32</x:v>
      </x:c>
      <x:c r="L215" s="492" t="n">
        <x:f>G215*H215</x:f>
        <x:v>89</x:v>
      </x:c>
      <x:c r="M215" s="492" t="n">
        <x:f>L215*I215</x:f>
        <x:v>4.45</x:v>
      </x:c>
      <x:c r="N215" s="492" t="n">
        <x:f>(L215-M215)*J215</x:f>
        <x:v>0</x:v>
      </x:c>
      <x:c r="O215" s="492" t="n">
        <x:f>L215-M215-N215</x:f>
        <x:v>84.55</x:v>
      </x:c>
      <x:c r="P215" s="492" t="n">
        <x:f>G215*K215*(1-J215)</x:f>
        <x:v>32</x:v>
      </x:c>
      <x:c r="Q215" s="492" t="n">
        <x:f>O215-P215</x:f>
        <x:v>52.55</x:v>
      </x:c>
      <x:c r="R215" s="490" t="n">
        <x:f>IF(O215=0,0,Q215/O215)</x:f>
        <x:v>0.6215257244234181</x:v>
      </x:c>
      <x:c r="S215" s="488" t="str">
        <x:f>IF(J215=1,"退款",IF(I215&gt;=0.2,"高折扣","正常"))</x:f>
        <x:v>正常</x:v>
      </x:c>
    </x:row>
    <x:row r="216">
      <x:c r="A216" s="486" t="n">
        <x:f>'原始订单'!A216</x:f>
        <x:v>46230</x:v>
      </x:c>
      <x:c r="B216" s="487" t="n">
        <x:f>DATE(YEAR(A216),MONTH(A216),1)</x:f>
        <x:v>46204</x:v>
      </x:c>
      <x:c r="C216" s="488" t="str">
        <x:f>'原始订单'!B216</x:f>
        <x:v>D20260212</x:v>
      </x:c>
      <x:c r="D216" s="488" t="str">
        <x:f>'原始订单'!C216</x:f>
        <x:v>C1083</x:v>
      </x:c>
      <x:c r="E216" s="488" t="str">
        <x:f>'原始订单'!D216</x:f>
        <x:v>自然搜索</x:v>
      </x:c>
      <x:c r="F216" s="488" t="str">
        <x:f>'原始订单'!E216</x:f>
        <x:v>轻量旅行杯</x:v>
      </x:c>
      <x:c r="G216" s="489" t="n">
        <x:f>'原始订单'!F216</x:f>
        <x:v>1</x:v>
      </x:c>
      <x:c r="H216" s="489" t="n">
        <x:f>'原始订单'!G216</x:f>
        <x:v>129</x:v>
      </x:c>
      <x:c r="I216" s="490" t="n">
        <x:f>'原始订单'!H216</x:f>
        <x:v>0.1</x:v>
      </x:c>
      <x:c r="J216" s="491" t="n">
        <x:f>'原始订单'!I216</x:f>
        <x:v>0</x:v>
      </x:c>
      <x:c r="K216" s="492" t="n">
        <x:f>'原始订单'!J216</x:f>
        <x:v>48</x:v>
      </x:c>
      <x:c r="L216" s="492" t="n">
        <x:f>G216*H216</x:f>
        <x:v>129</x:v>
      </x:c>
      <x:c r="M216" s="492" t="n">
        <x:f>L216*I216</x:f>
        <x:v>12.9</x:v>
      </x:c>
      <x:c r="N216" s="492" t="n">
        <x:f>(L216-M216)*J216</x:f>
        <x:v>0</x:v>
      </x:c>
      <x:c r="O216" s="492" t="n">
        <x:f>L216-M216-N216</x:f>
        <x:v>116.1</x:v>
      </x:c>
      <x:c r="P216" s="492" t="n">
        <x:f>G216*K216*(1-J216)</x:f>
        <x:v>48</x:v>
      </x:c>
      <x:c r="Q216" s="492" t="n">
        <x:f>O216-P216</x:f>
        <x:v>68.1</x:v>
      </x:c>
      <x:c r="R216" s="490" t="n">
        <x:f>IF(O216=0,0,Q216/O216)</x:f>
        <x:v>0.58656330749354</x:v>
      </x:c>
      <x:c r="S216" s="488" t="str">
        <x:f>IF(J216=1,"退款",IF(I216&gt;=0.2,"高折扣","正常"))</x:f>
        <x:v>正常</x:v>
      </x:c>
    </x:row>
    <x:row r="217">
      <x:c r="A217" s="486" t="n">
        <x:f>'原始订单'!A217</x:f>
        <x:v>46230</x:v>
      </x:c>
      <x:c r="B217" s="487" t="n">
        <x:f>DATE(YEAR(A217),MONTH(A217),1)</x:f>
        <x:v>46204</x:v>
      </x:c>
      <x:c r="C217" s="488" t="str">
        <x:f>'原始订单'!B217</x:f>
        <x:v>D20260213</x:v>
      </x:c>
      <x:c r="D217" s="488" t="str">
        <x:f>'原始订单'!C217</x:f>
        <x:v>C1143</x:v>
      </x:c>
      <x:c r="E217" s="488" t="str">
        <x:f>'原始订单'!D217</x:f>
        <x:v>自然搜索</x:v>
      </x:c>
      <x:c r="F217" s="488" t="str">
        <x:f>'原始订单'!E217</x:f>
        <x:v>轻量旅行杯</x:v>
      </x:c>
      <x:c r="G217" s="489" t="n">
        <x:f>'原始订单'!F217</x:f>
        <x:v>1</x:v>
      </x:c>
      <x:c r="H217" s="489" t="n">
        <x:f>'原始订单'!G217</x:f>
        <x:v>129</x:v>
      </x:c>
      <x:c r="I217" s="490" t="n">
        <x:f>'原始订单'!H217</x:f>
        <x:v>0.2</x:v>
      </x:c>
      <x:c r="J217" s="491" t="n">
        <x:f>'原始订单'!I217</x:f>
        <x:v>0</x:v>
      </x:c>
      <x:c r="K217" s="492" t="n">
        <x:f>'原始订单'!J217</x:f>
        <x:v>48</x:v>
      </x:c>
      <x:c r="L217" s="492" t="n">
        <x:f>G217*H217</x:f>
        <x:v>129</x:v>
      </x:c>
      <x:c r="M217" s="492" t="n">
        <x:f>L217*I217</x:f>
        <x:v>25.8</x:v>
      </x:c>
      <x:c r="N217" s="492" t="n">
        <x:f>(L217-M217)*J217</x:f>
        <x:v>0</x:v>
      </x:c>
      <x:c r="O217" s="492" t="n">
        <x:f>L217-M217-N217</x:f>
        <x:v>103.2</x:v>
      </x:c>
      <x:c r="P217" s="492" t="n">
        <x:f>G217*K217*(1-J217)</x:f>
        <x:v>48</x:v>
      </x:c>
      <x:c r="Q217" s="492" t="n">
        <x:f>O217-P217</x:f>
        <x:v>55.2</x:v>
      </x:c>
      <x:c r="R217" s="490" t="n">
        <x:f>IF(O217=0,0,Q217/O217)</x:f>
        <x:v>0.5348837209302326</x:v>
      </x:c>
      <x:c r="S217" s="488" t="str">
        <x:f>IF(J217=1,"退款",IF(I217&gt;=0.2,"高折扣","正常"))</x:f>
        <x:v>高折扣</x:v>
      </x:c>
    </x:row>
    <x:row r="218">
      <x:c r="A218" s="486" t="n">
        <x:f>'原始订单'!A218</x:f>
        <x:v>46231</x:v>
      </x:c>
      <x:c r="B218" s="487" t="n">
        <x:f>DATE(YEAR(A218),MONTH(A218),1)</x:f>
        <x:v>46204</x:v>
      </x:c>
      <x:c r="C218" s="488" t="str">
        <x:f>'原始订单'!B218</x:f>
        <x:v>D20260214</x:v>
      </x:c>
      <x:c r="D218" s="488" t="str">
        <x:f>'原始订单'!C218</x:f>
        <x:v>C1145</x:v>
      </x:c>
      <x:c r="E218" s="488" t="str">
        <x:f>'原始订单'!D218</x:f>
        <x:v>小红书</x:v>
      </x:c>
      <x:c r="F218" s="488" t="str">
        <x:f>'原始订单'!E218</x:f>
        <x:v>无线标签机</x:v>
      </x:c>
      <x:c r="G218" s="489" t="n">
        <x:f>'原始订单'!F218</x:f>
        <x:v>2</x:v>
      </x:c>
      <x:c r="H218" s="489" t="n">
        <x:f>'原始订单'!G218</x:f>
        <x:v>239</x:v>
      </x:c>
      <x:c r="I218" s="490" t="n">
        <x:f>'原始订单'!H218</x:f>
        <x:v>0.2</x:v>
      </x:c>
      <x:c r="J218" s="491" t="n">
        <x:f>'原始订单'!I218</x:f>
        <x:v>0</x:v>
      </x:c>
      <x:c r="K218" s="492" t="n">
        <x:f>'原始订单'!J218</x:f>
        <x:v>118</x:v>
      </x:c>
      <x:c r="L218" s="492" t="n">
        <x:f>G218*H218</x:f>
        <x:v>478</x:v>
      </x:c>
      <x:c r="M218" s="492" t="n">
        <x:f>L218*I218</x:f>
        <x:v>95.60000000000001</x:v>
      </x:c>
      <x:c r="N218" s="492" t="n">
        <x:f>(L218-M218)*J218</x:f>
        <x:v>0</x:v>
      </x:c>
      <x:c r="O218" s="492" t="n">
        <x:f>L218-M218-N218</x:f>
        <x:v>382.4</x:v>
      </x:c>
      <x:c r="P218" s="492" t="n">
        <x:f>G218*K218*(1-J218)</x:f>
        <x:v>236</x:v>
      </x:c>
      <x:c r="Q218" s="492" t="n">
        <x:f>O218-P218</x:f>
        <x:v>146.39999999999998</x:v>
      </x:c>
      <x:c r="R218" s="490" t="n">
        <x:f>IF(O218=0,0,Q218/O218)</x:f>
        <x:v>0.3828451882845188</x:v>
      </x:c>
      <x:c r="S218" s="488" t="str">
        <x:f>IF(J218=1,"退款",IF(I218&gt;=0.2,"高折扣","正常"))</x:f>
        <x:v>高折扣</x:v>
      </x:c>
    </x:row>
    <x:row r="219">
      <x:c r="A219" s="486" t="n">
        <x:f>'原始订单'!A219</x:f>
        <x:v>46231</x:v>
      </x:c>
      <x:c r="B219" s="487" t="n">
        <x:f>DATE(YEAR(A219),MONTH(A219),1)</x:f>
        <x:v>46204</x:v>
      </x:c>
      <x:c r="C219" s="488" t="str">
        <x:f>'原始订单'!B219</x:f>
        <x:v>D20260215</x:v>
      </x:c>
      <x:c r="D219" s="488" t="str">
        <x:f>'原始订单'!C219</x:f>
        <x:v>C1059</x:v>
      </x:c>
      <x:c r="E219" s="488" t="str">
        <x:f>'原始订单'!D219</x:f>
        <x:v>自然搜索</x:v>
      </x:c>
      <x:c r="F219" s="488" t="str">
        <x:f>'原始订单'!E219</x:f>
        <x:v>便携补光灯</x:v>
      </x:c>
      <x:c r="G219" s="489" t="n">
        <x:f>'原始订单'!F219</x:f>
        <x:v>1</x:v>
      </x:c>
      <x:c r="H219" s="489" t="n">
        <x:f>'原始订单'!G219</x:f>
        <x:v>159</x:v>
      </x:c>
      <x:c r="I219" s="490" t="n">
        <x:f>'原始订单'!H219</x:f>
        <x:v>0.2</x:v>
      </x:c>
      <x:c r="J219" s="491" t="n">
        <x:f>'原始订单'!I219</x:f>
        <x:v>0</x:v>
      </x:c>
      <x:c r="K219" s="492" t="n">
        <x:f>'原始订单'!J219</x:f>
        <x:v>72</x:v>
      </x:c>
      <x:c r="L219" s="492" t="n">
        <x:f>G219*H219</x:f>
        <x:v>159</x:v>
      </x:c>
      <x:c r="M219" s="492" t="n">
        <x:f>L219*I219</x:f>
        <x:v>31.8</x:v>
      </x:c>
      <x:c r="N219" s="492" t="n">
        <x:f>(L219-M219)*J219</x:f>
        <x:v>0</x:v>
      </x:c>
      <x:c r="O219" s="492" t="n">
        <x:f>L219-M219-N219</x:f>
        <x:v>127.2</x:v>
      </x:c>
      <x:c r="P219" s="492" t="n">
        <x:f>G219*K219*(1-J219)</x:f>
        <x:v>72</x:v>
      </x:c>
      <x:c r="Q219" s="492" t="n">
        <x:f>O219-P219</x:f>
        <x:v>55.2</x:v>
      </x:c>
      <x:c r="R219" s="490" t="n">
        <x:f>IF(O219=0,0,Q219/O219)</x:f>
        <x:v>0.4339622641509434</x:v>
      </x:c>
      <x:c r="S219" s="488" t="str">
        <x:f>IF(J219=1,"退款",IF(I219&gt;=0.2,"高折扣","正常"))</x:f>
        <x:v>高折扣</x:v>
      </x:c>
    </x:row>
    <x:row r="220">
      <x:c r="A220" s="486" t="n">
        <x:f>'原始订单'!A220</x:f>
        <x:v>46231</x:v>
      </x:c>
      <x:c r="B220" s="487" t="n">
        <x:f>DATE(YEAR(A220),MONTH(A220),1)</x:f>
        <x:v>46204</x:v>
      </x:c>
      <x:c r="C220" s="488" t="str">
        <x:f>'原始订单'!B220</x:f>
        <x:v>D20260216</x:v>
      </x:c>
      <x:c r="D220" s="488" t="str">
        <x:f>'原始订单'!C220</x:f>
        <x:v>C1132</x:v>
      </x:c>
      <x:c r="E220" s="488" t="str">
        <x:f>'原始订单'!D220</x:f>
        <x:v>抖音广告</x:v>
      </x:c>
      <x:c r="F220" s="488" t="str">
        <x:f>'原始订单'!E220</x:f>
        <x:v>便携补光灯</x:v>
      </x:c>
      <x:c r="G220" s="489" t="n">
        <x:f>'原始订单'!F220</x:f>
        <x:v>1</x:v>
      </x:c>
      <x:c r="H220" s="489" t="n">
        <x:f>'原始订单'!G220</x:f>
        <x:v>159</x:v>
      </x:c>
      <x:c r="I220" s="490" t="n">
        <x:f>'原始订单'!H220</x:f>
        <x:v>0.2</x:v>
      </x:c>
      <x:c r="J220" s="491" t="n">
        <x:f>'原始订单'!I220</x:f>
        <x:v>0</x:v>
      </x:c>
      <x:c r="K220" s="492" t="n">
        <x:f>'原始订单'!J220</x:f>
        <x:v>72</x:v>
      </x:c>
      <x:c r="L220" s="492" t="n">
        <x:f>G220*H220</x:f>
        <x:v>159</x:v>
      </x:c>
      <x:c r="M220" s="492" t="n">
        <x:f>L220*I220</x:f>
        <x:v>31.8</x:v>
      </x:c>
      <x:c r="N220" s="492" t="n">
        <x:f>(L220-M220)*J220</x:f>
        <x:v>0</x:v>
      </x:c>
      <x:c r="O220" s="492" t="n">
        <x:f>L220-M220-N220</x:f>
        <x:v>127.2</x:v>
      </x:c>
      <x:c r="P220" s="492" t="n">
        <x:f>G220*K220*(1-J220)</x:f>
        <x:v>72</x:v>
      </x:c>
      <x:c r="Q220" s="492" t="n">
        <x:f>O220-P220</x:f>
        <x:v>55.2</x:v>
      </x:c>
      <x:c r="R220" s="490" t="n">
        <x:f>IF(O220=0,0,Q220/O220)</x:f>
        <x:v>0.4339622641509434</x:v>
      </x:c>
      <x:c r="S220" s="488" t="str">
        <x:f>IF(J220=1,"退款",IF(I220&gt;=0.2,"高折扣","正常"))</x:f>
        <x:v>高折扣</x:v>
      </x:c>
    </x:row>
    <x:row r="221">
      <x:c r="A221" s="486" t="n">
        <x:f>'原始订单'!A221</x:f>
        <x:v>46231</x:v>
      </x:c>
      <x:c r="B221" s="487" t="n">
        <x:f>DATE(YEAR(A221),MONTH(A221),1)</x:f>
        <x:v>46204</x:v>
      </x:c>
      <x:c r="C221" s="488" t="str">
        <x:f>'原始订单'!B221</x:f>
        <x:v>D20260217</x:v>
      </x:c>
      <x:c r="D221" s="488" t="str">
        <x:f>'原始订单'!C221</x:f>
        <x:v>C1031</x:v>
      </x:c>
      <x:c r="E221" s="488" t="str">
        <x:f>'原始订单'!D221</x:f>
        <x:v>抖音广告</x:v>
      </x:c>
      <x:c r="F221" s="488" t="str">
        <x:f>'原始订单'!E221</x:f>
        <x:v>无线标签机</x:v>
      </x:c>
      <x:c r="G221" s="489" t="n">
        <x:f>'原始订单'!F221</x:f>
        <x:v>1</x:v>
      </x:c>
      <x:c r="H221" s="489" t="n">
        <x:f>'原始订单'!G221</x:f>
        <x:v>239</x:v>
      </x:c>
      <x:c r="I221" s="490" t="n">
        <x:f>'原始订单'!H221</x:f>
        <x:v>0.05</x:v>
      </x:c>
      <x:c r="J221" s="491" t="n">
        <x:f>'原始订单'!I221</x:f>
        <x:v>0</x:v>
      </x:c>
      <x:c r="K221" s="492" t="n">
        <x:f>'原始订单'!J221</x:f>
        <x:v>118</x:v>
      </x:c>
      <x:c r="L221" s="492" t="n">
        <x:f>G221*H221</x:f>
        <x:v>239</x:v>
      </x:c>
      <x:c r="M221" s="492" t="n">
        <x:f>L221*I221</x:f>
        <x:v>11.950000000000001</x:v>
      </x:c>
      <x:c r="N221" s="492" t="n">
        <x:f>(L221-M221)*J221</x:f>
        <x:v>0</x:v>
      </x:c>
      <x:c r="O221" s="492" t="n">
        <x:f>L221-M221-N221</x:f>
        <x:v>227.05</x:v>
      </x:c>
      <x:c r="P221" s="492" t="n">
        <x:f>G221*K221*(1-J221)</x:f>
        <x:v>118</x:v>
      </x:c>
      <x:c r="Q221" s="492" t="n">
        <x:f>O221-P221</x:f>
        <x:v>109.05000000000001</x:v>
      </x:c>
      <x:c r="R221" s="490" t="n">
        <x:f>IF(O221=0,0,Q221/O221)</x:f>
        <x:v>0.48029068487117377</x:v>
      </x:c>
      <x:c r="S221" s="488" t="str">
        <x:f>IF(J221=1,"退款",IF(I221&gt;=0.2,"高折扣","正常"))</x:f>
        <x:v>正常</x:v>
      </x:c>
    </x:row>
    <x:row r="222">
      <x:c r="A222" s="486" t="n">
        <x:f>'原始订单'!A222</x:f>
        <x:v>46232</x:v>
      </x:c>
      <x:c r="B222" s="487" t="n">
        <x:f>DATE(YEAR(A222),MONTH(A222),1)</x:f>
        <x:v>46204</x:v>
      </x:c>
      <x:c r="C222" s="488" t="str">
        <x:f>'原始订单'!B222</x:f>
        <x:v>D20260218</x:v>
      </x:c>
      <x:c r="D222" s="488" t="str">
        <x:f>'原始订单'!C222</x:f>
        <x:v>C1054</x:v>
      </x:c>
      <x:c r="E222" s="488" t="str">
        <x:f>'原始订单'!D222</x:f>
        <x:v>小红书</x:v>
      </x:c>
      <x:c r="F222" s="488" t="str">
        <x:f>'原始订单'!E222</x:f>
        <x:v>轻量旅行杯</x:v>
      </x:c>
      <x:c r="G222" s="489" t="n">
        <x:f>'原始订单'!F222</x:f>
        <x:v>1</x:v>
      </x:c>
      <x:c r="H222" s="489" t="n">
        <x:f>'原始订单'!G222</x:f>
        <x:v>129</x:v>
      </x:c>
      <x:c r="I222" s="490" t="n">
        <x:f>'原始订单'!H222</x:f>
        <x:v>0.1</x:v>
      </x:c>
      <x:c r="J222" s="491" t="n">
        <x:f>'原始订单'!I222</x:f>
        <x:v>0</x:v>
      </x:c>
      <x:c r="K222" s="492" t="n">
        <x:f>'原始订单'!J222</x:f>
        <x:v>48</x:v>
      </x:c>
      <x:c r="L222" s="492" t="n">
        <x:f>G222*H222</x:f>
        <x:v>129</x:v>
      </x:c>
      <x:c r="M222" s="492" t="n">
        <x:f>L222*I222</x:f>
        <x:v>12.9</x:v>
      </x:c>
      <x:c r="N222" s="492" t="n">
        <x:f>(L222-M222)*J222</x:f>
        <x:v>0</x:v>
      </x:c>
      <x:c r="O222" s="492" t="n">
        <x:f>L222-M222-N222</x:f>
        <x:v>116.1</x:v>
      </x:c>
      <x:c r="P222" s="492" t="n">
        <x:f>G222*K222*(1-J222)</x:f>
        <x:v>48</x:v>
      </x:c>
      <x:c r="Q222" s="492" t="n">
        <x:f>O222-P222</x:f>
        <x:v>68.1</x:v>
      </x:c>
      <x:c r="R222" s="490" t="n">
        <x:f>IF(O222=0,0,Q222/O222)</x:f>
        <x:v>0.58656330749354</x:v>
      </x:c>
      <x:c r="S222" s="488" t="str">
        <x:f>IF(J222=1,"退款",IF(I222&gt;=0.2,"高折扣","正常"))</x:f>
        <x:v>正常</x:v>
      </x:c>
    </x:row>
    <x:row r="223">
      <x:c r="A223" s="486" t="n">
        <x:f>'原始订单'!A223</x:f>
        <x:v>46232</x:v>
      </x:c>
      <x:c r="B223" s="487" t="n">
        <x:f>DATE(YEAR(A223),MONTH(A223),1)</x:f>
        <x:v>46204</x:v>
      </x:c>
      <x:c r="C223" s="488" t="str">
        <x:f>'原始订单'!B223</x:f>
        <x:v>D20260219</x:v>
      </x:c>
      <x:c r="D223" s="488" t="str">
        <x:f>'原始订单'!C223</x:f>
        <x:v>C1003</x:v>
      </x:c>
      <x:c r="E223" s="488" t="str">
        <x:f>'原始订单'!D223</x:f>
        <x:v>抖音广告</x:v>
      </x:c>
      <x:c r="F223" s="488" t="str">
        <x:f>'原始订单'!E223</x:f>
        <x:v>无线标签机</x:v>
      </x:c>
      <x:c r="G223" s="489" t="n">
        <x:f>'原始订单'!F223</x:f>
        <x:v>1</x:v>
      </x:c>
      <x:c r="H223" s="489" t="n">
        <x:f>'原始订单'!G223</x:f>
        <x:v>239</x:v>
      </x:c>
      <x:c r="I223" s="490" t="n">
        <x:f>'原始订单'!H223</x:f>
        <x:v>0.1</x:v>
      </x:c>
      <x:c r="J223" s="491" t="n">
        <x:f>'原始订单'!I223</x:f>
        <x:v>0</x:v>
      </x:c>
      <x:c r="K223" s="492" t="n">
        <x:f>'原始订单'!J223</x:f>
        <x:v>118</x:v>
      </x:c>
      <x:c r="L223" s="492" t="n">
        <x:f>G223*H223</x:f>
        <x:v>239</x:v>
      </x:c>
      <x:c r="M223" s="492" t="n">
        <x:f>L223*I223</x:f>
        <x:v>23.900000000000002</x:v>
      </x:c>
      <x:c r="N223" s="492" t="n">
        <x:f>(L223-M223)*J223</x:f>
        <x:v>0</x:v>
      </x:c>
      <x:c r="O223" s="492" t="n">
        <x:f>L223-M223-N223</x:f>
        <x:v>215.1</x:v>
      </x:c>
      <x:c r="P223" s="492" t="n">
        <x:f>G223*K223*(1-J223)</x:f>
        <x:v>118</x:v>
      </x:c>
      <x:c r="Q223" s="492" t="n">
        <x:f>O223-P223</x:f>
        <x:v>97.1</x:v>
      </x:c>
      <x:c r="R223" s="490" t="n">
        <x:f>IF(O223=0,0,Q223/O223)</x:f>
        <x:v>0.4514179451417945</x:v>
      </x:c>
      <x:c r="S223" s="488" t="str">
        <x:f>IF(J223=1,"退款",IF(I223&gt;=0.2,"高折扣","正常"))</x:f>
        <x:v>正常</x:v>
      </x:c>
    </x:row>
    <x:row r="224">
      <x:c r="A224" s="486" t="n">
        <x:f>'原始订单'!A224</x:f>
        <x:v>46233</x:v>
      </x:c>
      <x:c r="B224" s="487" t="n">
        <x:f>DATE(YEAR(A224),MONTH(A224),1)</x:f>
        <x:v>46204</x:v>
      </x:c>
      <x:c r="C224" s="488" t="str">
        <x:f>'原始订单'!B224</x:f>
        <x:v>D20260220</x:v>
      </x:c>
      <x:c r="D224" s="488" t="str">
        <x:f>'原始订单'!C224</x:f>
        <x:v>C1005</x:v>
      </x:c>
      <x:c r="E224" s="488" t="str">
        <x:f>'原始订单'!D224</x:f>
        <x:v>老客复购</x:v>
      </x:c>
      <x:c r="F224" s="488" t="str">
        <x:f>'原始订单'!E224</x:f>
        <x:v>轻量旅行杯</x:v>
      </x:c>
      <x:c r="G224" s="489" t="n">
        <x:f>'原始订单'!F224</x:f>
        <x:v>1</x:v>
      </x:c>
      <x:c r="H224" s="489" t="n">
        <x:f>'原始订单'!G224</x:f>
        <x:v>129</x:v>
      </x:c>
      <x:c r="I224" s="490" t="n">
        <x:f>'原始订单'!H224</x:f>
        <x:v>0.05</x:v>
      </x:c>
      <x:c r="J224" s="491" t="n">
        <x:f>'原始订单'!I224</x:f>
        <x:v>0</x:v>
      </x:c>
      <x:c r="K224" s="492" t="n">
        <x:f>'原始订单'!J224</x:f>
        <x:v>48</x:v>
      </x:c>
      <x:c r="L224" s="492" t="n">
        <x:f>G224*H224</x:f>
        <x:v>129</x:v>
      </x:c>
      <x:c r="M224" s="492" t="n">
        <x:f>L224*I224</x:f>
        <x:v>6.45</x:v>
      </x:c>
      <x:c r="N224" s="492" t="n">
        <x:f>(L224-M224)*J224</x:f>
        <x:v>0</x:v>
      </x:c>
      <x:c r="O224" s="492" t="n">
        <x:f>L224-M224-N224</x:f>
        <x:v>122.55</x:v>
      </x:c>
      <x:c r="P224" s="492" t="n">
        <x:f>G224*K224*(1-J224)</x:f>
        <x:v>48</x:v>
      </x:c>
      <x:c r="Q224" s="492" t="n">
        <x:f>O224-P224</x:f>
        <x:v>74.55</x:v>
      </x:c>
      <x:c r="R224" s="490" t="n">
        <x:f>IF(O224=0,0,Q224/O224)</x:f>
        <x:v>0.6083231334149327</x:v>
      </x:c>
      <x:c r="S224" s="488" t="str">
        <x:f>IF(J224=1,"退款",IF(I224&gt;=0.2,"高折扣","正常"))</x:f>
        <x:v>正常</x:v>
      </x:c>
    </x:row>
    <x:row r="225">
      <x:c r="A225" s="486" t="n">
        <x:f>'原始订单'!A225</x:f>
        <x:v>46234</x:v>
      </x:c>
      <x:c r="B225" s="487" t="n">
        <x:f>DATE(YEAR(A225),MONTH(A225),1)</x:f>
        <x:v>46204</x:v>
      </x:c>
      <x:c r="C225" s="488" t="str">
        <x:f>'原始订单'!B225</x:f>
        <x:v>D20260221</x:v>
      </x:c>
      <x:c r="D225" s="488" t="str">
        <x:f>'原始订单'!C225</x:f>
        <x:v>C1097</x:v>
      </x:c>
      <x:c r="E225" s="488" t="str">
        <x:f>'原始订单'!D225</x:f>
        <x:v>自然搜索</x:v>
      </x:c>
      <x:c r="F225" s="488" t="str">
        <x:f>'原始订单'!E225</x:f>
        <x:v>桌面收纳架</x:v>
      </x:c>
      <x:c r="G225" s="489" t="n">
        <x:f>'原始订单'!F225</x:f>
        <x:v>2</x:v>
      </x:c>
      <x:c r="H225" s="489" t="n">
        <x:f>'原始订单'!G225</x:f>
        <x:v>89</x:v>
      </x:c>
      <x:c r="I225" s="490" t="n">
        <x:f>'原始订单'!H225</x:f>
        <x:v>0</x:v>
      </x:c>
      <x:c r="J225" s="491" t="n">
        <x:f>'原始订单'!I225</x:f>
        <x:v>0</x:v>
      </x:c>
      <x:c r="K225" s="492" t="n">
        <x:f>'原始订单'!J225</x:f>
        <x:v>32</x:v>
      </x:c>
      <x:c r="L225" s="492" t="n">
        <x:f>G225*H225</x:f>
        <x:v>178</x:v>
      </x:c>
      <x:c r="M225" s="492" t="n">
        <x:f>L225*I225</x:f>
        <x:v>0</x:v>
      </x:c>
      <x:c r="N225" s="492" t="n">
        <x:f>(L225-M225)*J225</x:f>
        <x:v>0</x:v>
      </x:c>
      <x:c r="O225" s="492" t="n">
        <x:f>L225-M225-N225</x:f>
        <x:v>178</x:v>
      </x:c>
      <x:c r="P225" s="492" t="n">
        <x:f>G225*K225*(1-J225)</x:f>
        <x:v>64</x:v>
      </x:c>
      <x:c r="Q225" s="492" t="n">
        <x:f>O225-P225</x:f>
        <x:v>114</x:v>
      </x:c>
      <x:c r="R225" s="490" t="n">
        <x:f>IF(O225=0,0,Q225/O225)</x:f>
        <x:v>0.6404494382022472</x:v>
      </x:c>
      <x:c r="S225" s="488" t="str">
        <x:f>IF(J225=1,"退款",IF(I225&gt;=0.2,"高折扣","正常"))</x:f>
        <x:v>正常</x:v>
      </x:c>
    </x:row>
    <x:row r="226">
      <x:c r="A226" s="486" t="n">
        <x:f>'原始订单'!A226</x:f>
        <x:v>46234</x:v>
      </x:c>
      <x:c r="B226" s="487" t="n">
        <x:f>DATE(YEAR(A226),MONTH(A226),1)</x:f>
        <x:v>46204</x:v>
      </x:c>
      <x:c r="C226" s="488" t="str">
        <x:f>'原始订单'!B226</x:f>
        <x:v>D20260222</x:v>
      </x:c>
      <x:c r="D226" s="488" t="str">
        <x:f>'原始订单'!C226</x:f>
        <x:v>C1094</x:v>
      </x:c>
      <x:c r="E226" s="488" t="str">
        <x:f>'原始订单'!D226</x:f>
        <x:v>自然搜索</x:v>
      </x:c>
      <x:c r="F226" s="488" t="str">
        <x:f>'原始订单'!E226</x:f>
        <x:v>无线标签机</x:v>
      </x:c>
      <x:c r="G226" s="489" t="n">
        <x:f>'原始订单'!F226</x:f>
        <x:v>1</x:v>
      </x:c>
      <x:c r="H226" s="489" t="n">
        <x:f>'原始订单'!G226</x:f>
        <x:v>239</x:v>
      </x:c>
      <x:c r="I226" s="490" t="n">
        <x:f>'原始订单'!H226</x:f>
        <x:v>0</x:v>
      </x:c>
      <x:c r="J226" s="491" t="n">
        <x:f>'原始订单'!I226</x:f>
        <x:v>0</x:v>
      </x:c>
      <x:c r="K226" s="492" t="n">
        <x:f>'原始订单'!J226</x:f>
        <x:v>118</x:v>
      </x:c>
      <x:c r="L226" s="492" t="n">
        <x:f>G226*H226</x:f>
        <x:v>239</x:v>
      </x:c>
      <x:c r="M226" s="492" t="n">
        <x:f>L226*I226</x:f>
        <x:v>0</x:v>
      </x:c>
      <x:c r="N226" s="492" t="n">
        <x:f>(L226-M226)*J226</x:f>
        <x:v>0</x:v>
      </x:c>
      <x:c r="O226" s="492" t="n">
        <x:f>L226-M226-N226</x:f>
        <x:v>239</x:v>
      </x:c>
      <x:c r="P226" s="492" t="n">
        <x:f>G226*K226*(1-J226)</x:f>
        <x:v>118</x:v>
      </x:c>
      <x:c r="Q226" s="492" t="n">
        <x:f>O226-P226</x:f>
        <x:v>121</x:v>
      </x:c>
      <x:c r="R226" s="490" t="n">
        <x:f>IF(O226=0,0,Q226/O226)</x:f>
        <x:v>0.5062761506276151</x:v>
      </x:c>
      <x:c r="S226" s="488" t="str">
        <x:f>IF(J226=1,"退款",IF(I226&gt;=0.2,"高折扣","正常"))</x:f>
        <x:v>正常</x:v>
      </x:c>
    </x:row>
    <x:row r="227">
      <x:c r="A227" s="486" t="n">
        <x:f>'原始订单'!A227</x:f>
        <x:v>46234</x:v>
      </x:c>
      <x:c r="B227" s="487" t="n">
        <x:f>DATE(YEAR(A227),MONTH(A227),1)</x:f>
        <x:v>46204</x:v>
      </x:c>
      <x:c r="C227" s="488" t="str">
        <x:f>'原始订单'!B227</x:f>
        <x:v>D20260223</x:v>
      </x:c>
      <x:c r="D227" s="488" t="str">
        <x:f>'原始订单'!C227</x:f>
        <x:v>C1051</x:v>
      </x:c>
      <x:c r="E227" s="488" t="str">
        <x:f>'原始订单'!D227</x:f>
        <x:v>抖音广告</x:v>
      </x:c>
      <x:c r="F227" s="488" t="str">
        <x:f>'原始订单'!E227</x:f>
        <x:v>便携补光灯</x:v>
      </x:c>
      <x:c r="G227" s="489" t="n">
        <x:f>'原始订单'!F227</x:f>
        <x:v>1</x:v>
      </x:c>
      <x:c r="H227" s="489" t="n">
        <x:f>'原始订单'!G227</x:f>
        <x:v>159</x:v>
      </x:c>
      <x:c r="I227" s="490" t="n">
        <x:f>'原始订单'!H227</x:f>
        <x:v>0.05</x:v>
      </x:c>
      <x:c r="J227" s="491" t="n">
        <x:f>'原始订单'!I227</x:f>
        <x:v>0</x:v>
      </x:c>
      <x:c r="K227" s="492" t="n">
        <x:f>'原始订单'!J227</x:f>
        <x:v>72</x:v>
      </x:c>
      <x:c r="L227" s="492" t="n">
        <x:f>G227*H227</x:f>
        <x:v>159</x:v>
      </x:c>
      <x:c r="M227" s="492" t="n">
        <x:f>L227*I227</x:f>
        <x:v>7.95</x:v>
      </x:c>
      <x:c r="N227" s="492" t="n">
        <x:f>(L227-M227)*J227</x:f>
        <x:v>0</x:v>
      </x:c>
      <x:c r="O227" s="492" t="n">
        <x:f>L227-M227-N227</x:f>
        <x:v>151.05</x:v>
      </x:c>
      <x:c r="P227" s="492" t="n">
        <x:f>G227*K227*(1-J227)</x:f>
        <x:v>72</x:v>
      </x:c>
      <x:c r="Q227" s="492" t="n">
        <x:f>O227-P227</x:f>
        <x:v>79.05000000000001</x:v>
      </x:c>
      <x:c r="R227" s="490" t="n">
        <x:f>IF(O227=0,0,Q227/O227)</x:f>
        <x:v>0.5233366434955313</x:v>
      </x:c>
      <x:c r="S227" s="488" t="str">
        <x:f>IF(J227=1,"退款",IF(I227&gt;=0.2,"高折扣","正常"))</x:f>
        <x:v>正常</x:v>
      </x:c>
    </x:row>
    <x:row r="228">
      <x:c r="A228" s="486" t="n">
        <x:f>'原始订单'!A228</x:f>
        <x:v>46234</x:v>
      </x:c>
      <x:c r="B228" s="487" t="n">
        <x:f>DATE(YEAR(A228),MONTH(A228),1)</x:f>
        <x:v>46204</x:v>
      </x:c>
      <x:c r="C228" s="488" t="str">
        <x:f>'原始订单'!B228</x:f>
        <x:v>D20260224</x:v>
      </x:c>
      <x:c r="D228" s="488" t="str">
        <x:f>'原始订单'!C228</x:f>
        <x:v>C1116</x:v>
      </x:c>
      <x:c r="E228" s="488" t="str">
        <x:f>'原始订单'!D228</x:f>
        <x:v>小红书</x:v>
      </x:c>
      <x:c r="F228" s="488" t="str">
        <x:f>'原始订单'!E228</x:f>
        <x:v>桌面收纳架</x:v>
      </x:c>
      <x:c r="G228" s="489" t="n">
        <x:f>'原始订单'!F228</x:f>
        <x:v>2</x:v>
      </x:c>
      <x:c r="H228" s="489" t="n">
        <x:f>'原始订单'!G228</x:f>
        <x:v>89</x:v>
      </x:c>
      <x:c r="I228" s="490" t="n">
        <x:f>'原始订单'!H228</x:f>
        <x:v>0.05</x:v>
      </x:c>
      <x:c r="J228" s="491" t="n">
        <x:f>'原始订单'!I228</x:f>
        <x:v>0</x:v>
      </x:c>
      <x:c r="K228" s="492" t="n">
        <x:f>'原始订单'!J228</x:f>
        <x:v>32</x:v>
      </x:c>
      <x:c r="L228" s="492" t="n">
        <x:f>G228*H228</x:f>
        <x:v>178</x:v>
      </x:c>
      <x:c r="M228" s="492" t="n">
        <x:f>L228*I228</x:f>
        <x:v>8.9</x:v>
      </x:c>
      <x:c r="N228" s="492" t="n">
        <x:f>(L228-M228)*J228</x:f>
        <x:v>0</x:v>
      </x:c>
      <x:c r="O228" s="492" t="n">
        <x:f>L228-M228-N228</x:f>
        <x:v>169.1</x:v>
      </x:c>
      <x:c r="P228" s="492" t="n">
        <x:f>G228*K228*(1-J228)</x:f>
        <x:v>64</x:v>
      </x:c>
      <x:c r="Q228" s="492" t="n">
        <x:f>O228-P228</x:f>
        <x:v>105.1</x:v>
      </x:c>
      <x:c r="R228" s="490" t="n">
        <x:f>IF(O228=0,0,Q228/O228)</x:f>
        <x:v>0.6215257244234181</x:v>
      </x:c>
      <x:c r="S228" s="488" t="str">
        <x:f>IF(J228=1,"退款",IF(I228&gt;=0.2,"高折扣","正常"))</x:f>
        <x:v>正常</x:v>
      </x:c>
    </x:row>
    <x:row r="229">
      <x:c r="A229" s="493" t="n">
        <x:f>'原始订单'!A229</x:f>
        <x:v>46234</x:v>
      </x:c>
      <x:c r="B229" s="494" t="n">
        <x:f>DATE(YEAR(A229),MONTH(A229),1)</x:f>
        <x:v>46204</x:v>
      </x:c>
      <x:c r="C229" s="495" t="str">
        <x:f>'原始订单'!B229</x:f>
        <x:v>D20260225</x:v>
      </x:c>
      <x:c r="D229" s="495" t="str">
        <x:f>'原始订单'!C229</x:f>
        <x:v>C1154</x:v>
      </x:c>
      <x:c r="E229" s="495" t="str">
        <x:f>'原始订单'!D229</x:f>
        <x:v>抖音广告</x:v>
      </x:c>
      <x:c r="F229" s="495" t="str">
        <x:f>'原始订单'!E229</x:f>
        <x:v>轻量旅行杯</x:v>
      </x:c>
      <x:c r="G229" s="496" t="n">
        <x:f>'原始订单'!F229</x:f>
        <x:v>1</x:v>
      </x:c>
      <x:c r="H229" s="496" t="n">
        <x:f>'原始订单'!G229</x:f>
        <x:v>129</x:v>
      </x:c>
      <x:c r="I229" s="497" t="n">
        <x:f>'原始订单'!H229</x:f>
        <x:v>0.05</x:v>
      </x:c>
      <x:c r="J229" s="498" t="n">
        <x:f>'原始订单'!I229</x:f>
        <x:v>0</x:v>
      </x:c>
      <x:c r="K229" s="499" t="n">
        <x:f>'原始订单'!J229</x:f>
        <x:v>48</x:v>
      </x:c>
      <x:c r="L229" s="499" t="n">
        <x:f>G229*H229</x:f>
        <x:v>129</x:v>
      </x:c>
      <x:c r="M229" s="499" t="n">
        <x:f>L229*I229</x:f>
        <x:v>6.45</x:v>
      </x:c>
      <x:c r="N229" s="499" t="n">
        <x:f>(L229-M229)*J229</x:f>
        <x:v>0</x:v>
      </x:c>
      <x:c r="O229" s="499" t="n">
        <x:f>L229-M229-N229</x:f>
        <x:v>122.55</x:v>
      </x:c>
      <x:c r="P229" s="499" t="n">
        <x:f>G229*K229*(1-J229)</x:f>
        <x:v>48</x:v>
      </x:c>
      <x:c r="Q229" s="499" t="n">
        <x:f>O229-P229</x:f>
        <x:v>74.55</x:v>
      </x:c>
      <x:c r="R229" s="497" t="n">
        <x:f>IF(O229=0,0,Q229/O229)</x:f>
        <x:v>0.6083231334149327</x:v>
      </x:c>
      <x:c r="S229" s="495" t="str">
        <x:f>IF(J229=1,"退款",IF(I229&gt;=0.2,"高折扣","正常"))</x:f>
        <x:v>正常</x:v>
      </x:c>
    </x:row>
  </x:sheetData>
  <x:mergeCells>
    <x:mergeCell ref="A1:S1"/>
    <x:mergeCell ref="A2:S2"/>
  </x:mergeCells>
  <x:conditionalFormatting sqref="S5:S229">
    <x:cfRule type="containsText" dxfId="1" priority="1" operator="containsText" text="退款"/>
    <x:cfRule type="containsText" dxfId="2" priority="2" operator="containsText" text="高折扣"/>
  </x:conditionalFormatting>
  <x:conditionalFormatting sqref="R5:R229">
    <x:cfRule type="colorScale" priority="3">
      <x:colorScale>
        <x:cfvo type="min"/>
        <x:cfvo type="percentile" val="50"/>
        <x:cfvo type="max"/>
        <x:color rgb="FFFCE4DE"/>
        <x:color rgb="FFFFF4CC"/>
        <x:color rgb="FFDDF3E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02df21d449a4e0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3" hidden="0" customWidth="1"/>
    <x:col min="9" max="9" width="18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6" customHeight="1">
      <x:c r="A1" s="98" t="str">
        <x:v>月度、渠道与产品分析</x:v>
      </x:c>
      <x:c r="B1" s="98" t="str">
        <x:v>月度、渠道与产品分析</x:v>
      </x:c>
      <x:c r="C1" s="98" t="str">
        <x:v>月度、渠道与产品分析</x:v>
      </x:c>
      <x:c r="D1" s="98" t="str">
        <x:v>月度、渠道与产品分析</x:v>
      </x:c>
      <x:c r="E1" s="98" t="str">
        <x:v>月度、渠道与产品分析</x:v>
      </x:c>
      <x:c r="F1" s="98" t="str">
        <x:v>月度、渠道与产品分析</x:v>
      </x:c>
      <x:c r="G1" s="98" t="str">
        <x:v>月度、渠道与产品分析</x:v>
      </x:c>
      <x:c r="H1" s="98" t="str">
        <x:v>月度、渠道与产品分析</x:v>
      </x:c>
      <x:c r="I1" s="98" t="str">
        <x:v>月度、渠道与产品分析</x:v>
      </x:c>
      <x:c r="J1" s="98" t="str">
        <x:v>月度、渠道与产品分析</x:v>
      </x:c>
      <x:c r="K1" s="98" t="str">
        <x:v>月度、渠道与产品分析</x:v>
      </x:c>
      <x:c r="L1" s="98" t="str">
        <x:v>月度、渠道与产品分析</x:v>
      </x:c>
      <x:c r="M1" s="98" t="str">
        <x:v>月度、渠道与产品分析</x:v>
      </x:c>
      <x:c r="N1" s="98" t="str">
        <x:v>月度、渠道与产品分析</x:v>
      </x:c>
    </x:row>
    <x:row r="2" ht="24" customHeight="1">
      <x:c r="A2" s="99" t="str">
        <x:v>计算层：所有结果来自“数据处理”和“广告投入”，并为仪表盘提供公式驱动的数据源</x:v>
      </x:c>
      <x:c r="B2" s="99" t="str">
        <x:v>计算层：所有结果来自“数据处理”和“广告投入”，并为仪表盘提供公式驱动的数据源</x:v>
      </x:c>
      <x:c r="C2" s="99" t="str">
        <x:v>计算层：所有结果来自“数据处理”和“广告投入”，并为仪表盘提供公式驱动的数据源</x:v>
      </x:c>
      <x:c r="D2" s="99" t="str">
        <x:v>计算层：所有结果来自“数据处理”和“广告投入”，并为仪表盘提供公式驱动的数据源</x:v>
      </x:c>
      <x:c r="E2" s="99" t="str">
        <x:v>计算层：所有结果来自“数据处理”和“广告投入”，并为仪表盘提供公式驱动的数据源</x:v>
      </x:c>
      <x:c r="F2" s="99" t="str">
        <x:v>计算层：所有结果来自“数据处理”和“广告投入”，并为仪表盘提供公式驱动的数据源</x:v>
      </x:c>
      <x:c r="G2" s="99" t="str">
        <x:v>计算层：所有结果来自“数据处理”和“广告投入”，并为仪表盘提供公式驱动的数据源</x:v>
      </x:c>
      <x:c r="H2" s="99" t="str">
        <x:v>计算层：所有结果来自“数据处理”和“广告投入”，并为仪表盘提供公式驱动的数据源</x:v>
      </x:c>
      <x:c r="I2" s="99" t="str">
        <x:v>计算层：所有结果来自“数据处理”和“广告投入”，并为仪表盘提供公式驱动的数据源</x:v>
      </x:c>
      <x:c r="J2" s="99" t="str">
        <x:v>计算层：所有结果来自“数据处理”和“广告投入”，并为仪表盘提供公式驱动的数据源</x:v>
      </x:c>
      <x:c r="K2" s="99" t="str">
        <x:v>计算层：所有结果来自“数据处理”和“广告投入”，并为仪表盘提供公式驱动的数据源</x:v>
      </x:c>
      <x:c r="L2" s="99" t="str">
        <x:v>计算层：所有结果来自“数据处理”和“广告投入”，并为仪表盘提供公式驱动的数据源</x:v>
      </x:c>
      <x:c r="M2" s="99" t="str">
        <x:v>计算层：所有结果来自“数据处理”和“广告投入”，并为仪表盘提供公式驱动的数据源</x:v>
      </x:c>
      <x:c r="N2" s="99" t="str">
        <x:v>计算层：所有结果来自“数据处理”和“广告投入”，并为仪表盘提供公式驱动的数据源</x:v>
      </x:c>
    </x:row>
    <x:row r="3">
      <x:c r="A3" s="100"/>
      <x:c r="B3" s="100"/>
      <x:c r="C3" s="100"/>
      <x:c r="D3" s="100"/>
      <x:c r="E3" s="100"/>
      <x:c r="F3" s="100"/>
      <x:c r="G3" s="100"/>
      <x:c r="H3" s="100"/>
      <x:c r="I3" s="100"/>
      <x:c r="J3" s="100"/>
      <x:c r="K3" s="100"/>
      <x:c r="L3" s="100"/>
      <x:c r="M3" s="100"/>
      <x:c r="N3" s="100"/>
    </x:row>
    <x:row r="4" ht="26" customHeight="1">
      <x:c r="A4" s="101" t="str">
        <x:v>月度经营指标</x:v>
      </x:c>
      <x:c r="B4" s="101" t="str">
        <x:v>月度经营指标</x:v>
      </x:c>
      <x:c r="C4" s="101" t="str">
        <x:v>月度经营指标</x:v>
      </x:c>
      <x:c r="D4" s="101" t="str">
        <x:v>月度经营指标</x:v>
      </x:c>
      <x:c r="E4" s="101" t="str">
        <x:v>月度经营指标</x:v>
      </x:c>
      <x:c r="F4" s="100"/>
      <x:c r="G4" s="100"/>
      <x:c r="H4" s="100"/>
      <x:c r="I4" s="100"/>
      <x:c r="J4" s="100"/>
      <x:c r="K4" s="100"/>
      <x:c r="L4" s="100"/>
      <x:c r="M4" s="100"/>
      <x:c r="N4" s="100"/>
    </x:row>
    <x:row r="5" ht="28" customHeight="1">
      <x:c r="A5" s="111" t="str">
        <x:v>指标</x:v>
      </x:c>
      <x:c r="B5" s="500" t="n">
        <x:v>46143</x:v>
      </x:c>
      <x:c r="C5" s="500" t="n">
        <x:v>46174</x:v>
      </x:c>
      <x:c r="D5" s="500" t="n">
        <x:v>46204</x:v>
      </x:c>
      <x:c r="E5" s="112" t="str">
        <x:v>本期合计</x:v>
      </x:c>
      <x:c r="F5" s="100"/>
      <x:c r="G5" s="100"/>
      <x:c r="H5" s="100"/>
      <x:c r="I5" s="100"/>
      <x:c r="J5" s="100"/>
      <x:c r="K5" s="100"/>
      <x:c r="L5" s="100"/>
      <x:c r="M5" s="100"/>
      <x:c r="N5" s="100"/>
    </x:row>
    <x:row r="6">
      <x:c r="A6" s="501" t="str">
        <x:v>净销售额</x:v>
      </x:c>
      <x:c r="B6" s="502" t="n">
        <x:f>SUMIFS('数据处理'!$O$5:$O$229,'数据处理'!$B$5:$B$229,B$5)</x:f>
        <x:v>10468.900000000003</x:v>
      </x:c>
      <x:c r="C6" s="502" t="n">
        <x:f>SUMIFS('数据处理'!$O$5:$O$229,'数据处理'!$B$5:$B$229,C$5)</x:f>
        <x:v>13107.199999999999</x:v>
      </x:c>
      <x:c r="D6" s="502" t="n">
        <x:f>SUMIFS('数据处理'!$O$5:$O$229,'数据处理'!$B$5:$B$229,D$5)</x:f>
        <x:v>15000.1</x:v>
      </x:c>
      <x:c r="E6" s="503" t="n">
        <x:f>SUM(B6:D6)</x:f>
        <x:v>38576.200000000004</x:v>
      </x:c>
      <x:c r="F6" s="100"/>
      <x:c r="G6" s="100"/>
      <x:c r="H6" s="100"/>
      <x:c r="I6" s="100"/>
      <x:c r="J6" s="100"/>
      <x:c r="K6" s="100"/>
      <x:c r="L6" s="100"/>
      <x:c r="M6" s="100"/>
      <x:c r="N6" s="100"/>
    </x:row>
    <x:row r="7">
      <x:c r="A7" s="504" t="str">
        <x:v>有效订单数</x:v>
      </x:c>
      <x:c r="B7" s="505" t="n">
        <x:f>COUNTIFS('数据处理'!$B$5:$B$229,B$5,'数据处理'!$J$5:$J$229,0)</x:f>
        <x:v>57</x:v>
      </x:c>
      <x:c r="C7" s="505" t="n">
        <x:f>COUNTIFS('数据处理'!$B$5:$B$229,C$5,'数据处理'!$J$5:$J$229,0)</x:f>
        <x:v>72</x:v>
      </x:c>
      <x:c r="D7" s="505" t="n">
        <x:f>COUNTIFS('数据处理'!$B$5:$B$229,D$5,'数据处理'!$J$5:$J$229,0)</x:f>
        <x:v>88</x:v>
      </x:c>
      <x:c r="E7" s="506" t="n">
        <x:f>SUM(B7:D7)</x:f>
        <x:v>217</x:v>
      </x:c>
      <x:c r="F7" s="100"/>
      <x:c r="G7" s="100"/>
      <x:c r="H7" s="100"/>
      <x:c r="I7" s="100"/>
      <x:c r="J7" s="100"/>
      <x:c r="K7" s="100"/>
      <x:c r="L7" s="100"/>
      <x:c r="M7" s="100"/>
      <x:c r="N7" s="100"/>
    </x:row>
    <x:row r="8">
      <x:c r="A8" s="504" t="str">
        <x:v>有效销量</x:v>
      </x:c>
      <x:c r="B8" s="505" t="n">
        <x:f>SUMIFS('数据处理'!$G$5:$G$229,'数据处理'!$B$5:$B$229,B$5,'数据处理'!$J$5:$J$229,0)</x:f>
        <x:v>78</x:v>
      </x:c>
      <x:c r="C8" s="505" t="n">
        <x:f>SUMIFS('数据处理'!$G$5:$G$229,'数据处理'!$B$5:$B$229,C$5,'数据处理'!$J$5:$J$229,0)</x:f>
        <x:v>93</x:v>
      </x:c>
      <x:c r="D8" s="505" t="n">
        <x:f>SUMIFS('数据处理'!$G$5:$G$229,'数据处理'!$B$5:$B$229,D$5,'数据处理'!$J$5:$J$229,0)</x:f>
        <x:v>105</x:v>
      </x:c>
      <x:c r="E8" s="506" t="n">
        <x:f>SUM(B8:D8)</x:f>
        <x:v>276</x:v>
      </x:c>
      <x:c r="F8" s="100"/>
      <x:c r="G8" s="100"/>
      <x:c r="H8" s="100"/>
      <x:c r="I8" s="100"/>
      <x:c r="J8" s="100"/>
      <x:c r="K8" s="100"/>
      <x:c r="L8" s="100"/>
      <x:c r="M8" s="100"/>
      <x:c r="N8" s="100"/>
    </x:row>
    <x:row r="9">
      <x:c r="A9" s="504" t="str">
        <x:v>毛利润</x:v>
      </x:c>
      <x:c r="B9" s="505" t="n">
        <x:f>SUMIFS('数据处理'!$Q$5:$Q$229,'数据处理'!$B$5:$B$229,B$5)</x:f>
        <x:v>5680.9000000000015</x:v>
      </x:c>
      <x:c r="C9" s="505" t="n">
        <x:f>SUMIFS('数据处理'!$Q$5:$Q$229,'数据处理'!$B$5:$B$229,C$5)</x:f>
        <x:v>7171.200000000004</x:v>
      </x:c>
      <x:c r="D9" s="505" t="n">
        <x:f>SUMIFS('数据处理'!$Q$5:$Q$229,'数据处理'!$B$5:$B$229,D$5)</x:f>
        <x:v>8074.100000000004</x:v>
      </x:c>
      <x:c r="E9" s="506" t="n">
        <x:f>SUM(B9:D9)</x:f>
        <x:v>20926.20000000001</x:v>
      </x:c>
      <x:c r="F9" s="100"/>
      <x:c r="G9" s="100"/>
      <x:c r="H9" s="100"/>
      <x:c r="I9" s="100"/>
      <x:c r="J9" s="100"/>
      <x:c r="K9" s="100"/>
      <x:c r="L9" s="100"/>
      <x:c r="M9" s="100"/>
      <x:c r="N9" s="100"/>
    </x:row>
    <x:row r="10">
      <x:c r="A10" s="504" t="str">
        <x:v>毛利率</x:v>
      </x:c>
      <x:c r="B10" s="507" t="n">
        <x:f>IF(B6=0,0,B9/B6)</x:f>
        <x:v>0.5426453591112724</x:v>
      </x:c>
      <x:c r="C10" s="507" t="n">
        <x:f>IF(C6=0,0,C9/C6)</x:f>
        <x:v>0.5471191406250003</x:v>
      </x:c>
      <x:c r="D10" s="507" t="n">
        <x:f>IF(D6=0,0,D9/D6)</x:f>
        <x:v>0.5382697448683678</x:v>
      </x:c>
      <x:c r="E10" s="508" t="n">
        <x:f>IF(E6=0,0,E9/E6)</x:f>
        <x:v>0.5424640063044055</x:v>
      </x:c>
      <x:c r="F10" s="100"/>
      <x:c r="G10" s="100"/>
      <x:c r="H10" s="100"/>
      <x:c r="I10" s="100"/>
      <x:c r="J10" s="100"/>
      <x:c r="K10" s="100"/>
      <x:c r="L10" s="100"/>
      <x:c r="M10" s="100"/>
      <x:c r="N10" s="100"/>
    </x:row>
    <x:row r="11">
      <x:c r="A11" s="504" t="str">
        <x:v>广告投入</x:v>
      </x:c>
      <x:c r="B11" s="505" t="n">
        <x:f>SUMIFS('广告投入'!$C$5:$C$16,'广告投入'!$A$5:$A$16,B$5)</x:f>
        <x:v>8500</x:v>
      </x:c>
      <x:c r="C11" s="505" t="n">
        <x:f>SUMIFS('广告投入'!$C$5:$C$16,'广告投入'!$A$5:$A$16,C$5)</x:f>
        <x:v>10200</x:v>
      </x:c>
      <x:c r="D11" s="505" t="n">
        <x:f>SUMIFS('广告投入'!$C$5:$C$16,'广告投入'!$A$5:$A$16,D$5)</x:f>
        <x:v>14300</x:v>
      </x:c>
      <x:c r="E11" s="506" t="n">
        <x:f>SUM(B11:D11)</x:f>
        <x:v>33000</x:v>
      </x:c>
      <x:c r="F11" s="100"/>
      <x:c r="G11" s="100"/>
      <x:c r="H11" s="100"/>
      <x:c r="I11" s="100"/>
      <x:c r="J11" s="100"/>
      <x:c r="K11" s="100"/>
      <x:c r="L11" s="100"/>
      <x:c r="M11" s="100"/>
      <x:c r="N11" s="100"/>
    </x:row>
    <x:row r="12">
      <x:c r="A12" s="504" t="str">
        <x:v>ROAS</x:v>
      </x:c>
      <x:c r="B12" s="509" t="n">
        <x:f>IF(B11=0,0,B6/B11)</x:f>
        <x:v>1.2316352941176474</x:v>
      </x:c>
      <x:c r="C12" s="509" t="n">
        <x:f>IF(C11=0,0,C6/C11)</x:f>
        <x:v>1.285019607843137</x:v>
      </x:c>
      <x:c r="D12" s="509" t="n">
        <x:f>IF(D11=0,0,D6/D11)</x:f>
        <x:v>1.048958041958042</x:v>
      </x:c>
      <x:c r="E12" s="510" t="n">
        <x:f>IF(E11=0,0,E6/E11)</x:f>
        <x:v>1.1689757575757578</x:v>
      </x:c>
      <x:c r="F12" s="100"/>
      <x:c r="G12" s="100"/>
      <x:c r="H12" s="100"/>
      <x:c r="I12" s="100"/>
      <x:c r="J12" s="100"/>
      <x:c r="K12" s="100"/>
      <x:c r="L12" s="100"/>
      <x:c r="M12" s="100"/>
      <x:c r="N12" s="100"/>
    </x:row>
    <x:row r="13">
      <x:c r="A13" s="504" t="str">
        <x:v>平均客单价</x:v>
      </x:c>
      <x:c r="B13" s="505" t="n">
        <x:f>IF(B7=0,0,B6/B7)</x:f>
        <x:v>183.6649122807018</x:v>
      </x:c>
      <x:c r="C13" s="505" t="n">
        <x:f>IF(C7=0,0,C6/C7)</x:f>
        <x:v>182.04444444444442</x:v>
      </x:c>
      <x:c r="D13" s="505" t="n">
        <x:f>IF(D7=0,0,D6/D7)</x:f>
        <x:v>170.45568181818183</x:v>
      </x:c>
      <x:c r="E13" s="506" t="n">
        <x:f>IF(E7=0,0,E6/E7)</x:f>
        <x:v>177.7705069124424</x:v>
      </x:c>
      <x:c r="F13" s="100"/>
      <x:c r="G13" s="100"/>
      <x:c r="H13" s="100"/>
      <x:c r="I13" s="100"/>
      <x:c r="J13" s="100"/>
      <x:c r="K13" s="100"/>
      <x:c r="L13" s="100"/>
      <x:c r="M13" s="100"/>
      <x:c r="N13" s="100"/>
    </x:row>
    <x:row r="14">
      <x:c r="A14" s="504" t="str">
        <x:v>退款率</x:v>
      </x:c>
      <x:c r="B14" s="507" t="n">
        <x:f>IF(COUNTIF('数据处理'!$B$5:$B$229,B$5)=0,0,COUNTIFS('数据处理'!$B$5:$B$229,B$5,'数据处理'!$J$5:$J$229,1)/COUNTIF('数据处理'!$B$5:$B$229,B$5))</x:f>
        <x:v>0.05</x:v>
      </x:c>
      <x:c r="C14" s="507" t="n">
        <x:f>IF(COUNTIF('数据处理'!$B$5:$B$229,C$5)=0,0,COUNTIFS('数据处理'!$B$5:$B$229,C$5,'数据处理'!$J$5:$J$229,1)/COUNTIF('数据处理'!$B$5:$B$229,C$5))</x:f>
        <x:v>0.04</x:v>
      </x:c>
      <x:c r="D14" s="507" t="n">
        <x:f>IF(COUNTIF('数据处理'!$B$5:$B$229,D$5)=0,0,COUNTIFS('数据处理'!$B$5:$B$229,D$5,'数据处理'!$J$5:$J$229,1)/COUNTIF('数据处理'!$B$5:$B$229,D$5))</x:f>
        <x:v>0.022222222222222223</x:v>
      </x:c>
      <x:c r="E14" s="508" t="n">
        <x:f>IF(COUNTA('数据处理'!$C$5:$C$229)=0,0,SUM('数据处理'!$J$5:$J$229)/COUNTA('数据处理'!$C$5:$C$229))</x:f>
        <x:v>0.035555555555555556</x:v>
      </x:c>
      <x:c r="F14" s="100"/>
      <x:c r="G14" s="100"/>
      <x:c r="H14" s="100"/>
      <x:c r="I14" s="100"/>
      <x:c r="J14" s="100"/>
      <x:c r="K14" s="100"/>
      <x:c r="L14" s="100"/>
      <x:c r="M14" s="100"/>
      <x:c r="N14" s="100"/>
    </x:row>
    <x:row r="15">
      <x:c r="A15" s="504" t="str">
        <x:v>折扣率</x:v>
      </x:c>
      <x:c r="B15" s="507" t="n">
        <x:f>IF(SUMIFS('数据处理'!$L$5:$L$229,'数据处理'!$B$5:$B$229,B$5)=0,0,SUMIFS('数据处理'!$M$5:$M$229,'数据处理'!$B$5:$B$229,B$5)/SUMIFS('数据处理'!$L$5:$L$229,'数据处理'!$B$5:$B$229,B$5))</x:f>
        <x:v>0.062333246141773456</x:v>
      </x:c>
      <x:c r="C15" s="507" t="n">
        <x:f>IF(SUMIFS('数据处理'!$L$5:$L$229,'数据处理'!$B$5:$B$229,C$5)=0,0,SUMIFS('数据处理'!$M$5:$M$229,'数据处理'!$B$5:$B$229,C$5)/SUMIFS('数据处理'!$L$5:$L$229,'数据处理'!$B$5:$B$229,C$5))</x:f>
        <x:v>0.0515443615257048</x:v>
      </x:c>
      <x:c r="D15" s="507" t="n">
        <x:f>IF(SUMIFS('数据处理'!$L$5:$L$229,'数据处理'!$B$5:$B$229,D$5)=0,0,SUMIFS('数据处理'!$M$5:$M$229,'数据处理'!$B$5:$B$229,D$5)/SUMIFS('数据处理'!$L$5:$L$229,'数据处理'!$B$5:$B$229,D$5))</x:f>
        <x:v>0.05898910970282409</x:v>
      </x:c>
      <x:c r="E15" s="508" t="n">
        <x:f>IF(SUM('数据处理'!$L$5:$L$229)=0,0,SUM('数据处理'!$M$5:$M$229)/SUM('数据处理'!$L$5:$L$229))</x:f>
        <x:v>0.05734464615822161</x:v>
      </x:c>
      <x:c r="F15" s="100"/>
      <x:c r="G15" s="100"/>
      <x:c r="H15" s="100"/>
      <x:c r="I15" s="100"/>
      <x:c r="J15" s="100"/>
      <x:c r="K15" s="100"/>
      <x:c r="L15" s="100"/>
      <x:c r="M15" s="100"/>
      <x:c r="N15" s="100"/>
    </x:row>
    <x:row r="16">
      <x:c r="A16" s="504" t="str">
        <x:v>新客数</x:v>
      </x:c>
      <x:c r="B16" s="505" t="n">
        <x:f>SUMIFS('广告投入'!$E$5:$E$16,'广告投入'!$A$5:$A$16,B$5)</x:f>
        <x:v>83</x:v>
      </x:c>
      <x:c r="C16" s="505" t="n">
        <x:f>SUMIFS('广告投入'!$E$5:$E$16,'广告投入'!$A$5:$A$16,C$5)</x:f>
        <x:v>101</x:v>
      </x:c>
      <x:c r="D16" s="505" t="n">
        <x:f>SUMIFS('广告投入'!$E$5:$E$16,'广告投入'!$A$5:$A$16,D$5)</x:f>
        <x:v>122</x:v>
      </x:c>
      <x:c r="E16" s="506" t="n">
        <x:f>SUM(B16:D16)</x:f>
        <x:v>306</x:v>
      </x:c>
      <x:c r="F16" s="100"/>
      <x:c r="G16" s="100"/>
      <x:c r="H16" s="100"/>
      <x:c r="I16" s="100"/>
      <x:c r="J16" s="100"/>
      <x:c r="K16" s="100"/>
      <x:c r="L16" s="100"/>
      <x:c r="M16" s="100"/>
      <x:c r="N16" s="100"/>
    </x:row>
    <x:row r="17">
      <x:c r="A17" s="511" t="str">
        <x:v>CAC</x:v>
      </x:c>
      <x:c r="B17" s="512" t="n">
        <x:f>IF(B16=0,0,B11/B16)</x:f>
        <x:v>102.40963855421687</x:v>
      </x:c>
      <x:c r="C17" s="512" t="n">
        <x:f>IF(C16=0,0,C11/C16)</x:f>
        <x:v>100.99009900990099</x:v>
      </x:c>
      <x:c r="D17" s="512" t="n">
        <x:f>IF(D16=0,0,D11/D16)</x:f>
        <x:v>117.21311475409836</x:v>
      </x:c>
      <x:c r="E17" s="513" t="n">
        <x:f>IF(E16=0,0,E11/E16)</x:f>
        <x:v>107.84313725490196</x:v>
      </x:c>
      <x:c r="F17" s="100"/>
      <x:c r="G17" s="100"/>
      <x:c r="H17" s="100"/>
      <x:c r="I17" s="100"/>
      <x:c r="J17" s="100"/>
      <x:c r="K17" s="100"/>
      <x:c r="L17" s="100"/>
      <x:c r="M17" s="100"/>
      <x:c r="N17" s="100"/>
    </x:row>
    <x:row r="18">
      <x:c r="A18" s="100"/>
      <x:c r="B18" s="100"/>
      <x:c r="C18" s="100"/>
      <x:c r="D18" s="100"/>
      <x:c r="E18" s="100"/>
      <x:c r="F18" s="100"/>
      <x:c r="G18" s="100"/>
      <x:c r="H18" s="100"/>
      <x:c r="I18" s="100"/>
      <x:c r="J18" s="100"/>
      <x:c r="K18" s="100"/>
      <x:c r="L18" s="100"/>
      <x:c r="M18" s="100"/>
      <x:c r="N18" s="100"/>
    </x:row>
    <x:row r="19">
      <x:c r="A19" s="100"/>
      <x:c r="B19" s="100"/>
      <x:c r="C19" s="100"/>
      <x:c r="D19" s="100"/>
      <x:c r="E19" s="100"/>
      <x:c r="F19" s="100"/>
      <x:c r="G19" s="100"/>
      <x:c r="H19" s="100"/>
      <x:c r="I19" s="100"/>
      <x:c r="J19" s="100"/>
      <x:c r="K19" s="100"/>
      <x:c r="L19" s="100"/>
      <x:c r="M19" s="100"/>
      <x:c r="N19" s="100"/>
    </x:row>
    <x:row r="20" ht="26" customHeight="1">
      <x:c r="A20" s="101" t="str">
        <x:v>渠道表现</x:v>
      </x:c>
      <x:c r="B20" s="101" t="str">
        <x:v>渠道表现</x:v>
      </x:c>
      <x:c r="C20" s="101" t="str">
        <x:v>渠道表现</x:v>
      </x:c>
      <x:c r="D20" s="101" t="str">
        <x:v>渠道表现</x:v>
      </x:c>
      <x:c r="E20" s="101" t="str">
        <x:v>渠道表现</x:v>
      </x:c>
      <x:c r="F20" s="101" t="str">
        <x:v>渠道表现</x:v>
      </x:c>
      <x:c r="G20" s="101" t="str">
        <x:v>渠道表现</x:v>
      </x:c>
      <x:c r="H20" s="100"/>
      <x:c r="I20" s="101" t="str">
        <x:v>产品表现</x:v>
      </x:c>
      <x:c r="J20" s="101" t="str">
        <x:v>产品表现</x:v>
      </x:c>
      <x:c r="K20" s="101" t="str">
        <x:v>产品表现</x:v>
      </x:c>
      <x:c r="L20" s="101" t="str">
        <x:v>产品表现</x:v>
      </x:c>
      <x:c r="M20" s="101" t="str">
        <x:v>产品表现</x:v>
      </x:c>
      <x:c r="N20" s="101" t="str">
        <x:v>产品表现</x:v>
      </x:c>
    </x:row>
    <x:row r="21" ht="28" customHeight="1">
      <x:c r="A21" s="111" t="str">
        <x:v>渠道</x:v>
      </x:c>
      <x:c r="B21" s="113" t="str">
        <x:v>净销售额</x:v>
      </x:c>
      <x:c r="C21" s="113" t="str">
        <x:v>有效订单</x:v>
      </x:c>
      <x:c r="D21" s="113" t="str">
        <x:v>毛利润</x:v>
      </x:c>
      <x:c r="E21" s="113" t="str">
        <x:v>毛利率</x:v>
      </x:c>
      <x:c r="F21" s="113" t="str">
        <x:v>广告投入</x:v>
      </x:c>
      <x:c r="G21" s="112" t="str">
        <x:v>ROAS</x:v>
      </x:c>
      <x:c r="H21" s="100"/>
      <x:c r="I21" s="111" t="str">
        <x:v>产品</x:v>
      </x:c>
      <x:c r="J21" s="113" t="str">
        <x:v>净销售额</x:v>
      </x:c>
      <x:c r="K21" s="113" t="str">
        <x:v>有效销量</x:v>
      </x:c>
      <x:c r="L21" s="113" t="str">
        <x:v>毛利润</x:v>
      </x:c>
      <x:c r="M21" s="113" t="str">
        <x:v>毛利率</x:v>
      </x:c>
      <x:c r="N21" s="112" t="str">
        <x:v>退款率</x:v>
      </x:c>
    </x:row>
    <x:row r="22">
      <x:c r="A22" s="514" t="str">
        <x:v>抖音广告</x:v>
      </x:c>
      <x:c r="B22" s="502" t="n">
        <x:f>SUMIFS('数据处理'!$O$5:$O$229,'数据处理'!$E$5:$E$229,A22)</x:f>
        <x:v>12716.500000000002</x:v>
      </x:c>
      <x:c r="C22" s="502" t="n">
        <x:f>COUNTIFS('数据处理'!$E$5:$E$229,A22,'数据处理'!$J$5:$J$229,0)</x:f>
        <x:v>68</x:v>
      </x:c>
      <x:c r="D22" s="502" t="n">
        <x:f>SUMIFS('数据处理'!$Q$5:$Q$229,'数据处理'!$E$5:$E$229,A22)</x:f>
        <x:v>6866.500000000005</x:v>
      </x:c>
      <x:c r="E22" s="515" t="n">
        <x:f>IF(B22=0,0,D22/B22)</x:f>
        <x:v>0.539967758424095</x:v>
      </x:c>
      <x:c r="F22" s="502" t="n">
        <x:f>SUMIFS('广告投入'!$C$5:$C$16,'广告投入'!$B$5:$B$16,A22)</x:f>
        <x:v>16900</x:v>
      </x:c>
      <x:c r="G22" s="516" t="n">
        <x:f>IF(F22=0,0,B22/F22)</x:f>
        <x:v>0.7524556213017752</x:v>
      </x:c>
      <x:c r="H22" s="100"/>
      <x:c r="I22" s="514" t="str">
        <x:v>轻量旅行杯</x:v>
      </x:c>
      <x:c r="J22" s="502" t="n">
        <x:f>SUMIFS('数据处理'!$O$5:$O$229,'数据处理'!$F$5:$F$229,I22)</x:f>
        <x:v>9487.950000000003</x:v>
      </x:c>
      <x:c r="K22" s="502" t="n">
        <x:f>SUMIFS('数据处理'!$G$5:$G$229,'数据处理'!$F$5:$F$229,I22,'数据处理'!$J$5:$J$229,0)</x:f>
        <x:v>78</x:v>
      </x:c>
      <x:c r="L22" s="502" t="n">
        <x:f>SUMIFS('数据处理'!$Q$5:$Q$229,'数据处理'!$F$5:$F$229,I22)</x:f>
        <x:v>5743.950000000002</x:v>
      </x:c>
      <x:c r="M22" s="515" t="n">
        <x:f>IF(J22=0,0,L22/J22)</x:f>
        <x:v>0.6053942105512782</x:v>
      </x:c>
      <x:c r="N22" s="515" t="n">
        <x:f>IF(COUNTIF('数据处理'!$F$5:$F$229,I22)=0,0,COUNTIFS('数据处理'!$F$5:$F$229,I22,'数据处理'!$J$5:$J$229,1)/COUNTIF('数据处理'!$F$5:$F$229,I22))</x:f>
        <x:v>0.029411764705882353</x:v>
      </x:c>
    </x:row>
    <x:row r="23">
      <x:c r="A23" s="517" t="str">
        <x:v>小红书</x:v>
      </x:c>
      <x:c r="B23" s="505" t="n">
        <x:f>SUMIFS('数据处理'!$O$5:$O$229,'数据处理'!$E$5:$E$229,A23)</x:f>
        <x:v>9123</x:v>
      </x:c>
      <x:c r="C23" s="505" t="n">
        <x:f>COUNTIFS('数据处理'!$E$5:$E$229,A23,'数据处理'!$J$5:$J$229,0)</x:f>
        <x:v>47</x:v>
      </x:c>
      <x:c r="D23" s="505" t="n">
        <x:f>SUMIFS('数据处理'!$Q$5:$Q$229,'数据处理'!$E$5:$E$229,A23)</x:f>
        <x:v>4965.000000000002</x:v>
      </x:c>
      <x:c r="E23" s="507" t="n">
        <x:f>IF(B23=0,0,D23/B23)</x:f>
        <x:v>0.5442288720815524</x:v>
      </x:c>
      <x:c r="F23" s="505" t="n">
        <x:f>SUMIFS('广告投入'!$C$5:$C$16,'广告投入'!$B$5:$B$16,A23)</x:f>
        <x:v>12100</x:v>
      </x:c>
      <x:c r="G23" s="509" t="n">
        <x:f>IF(F23=0,0,B23/F23)</x:f>
        <x:v>0.7539669421487604</x:v>
      </x:c>
      <x:c r="H23" s="100"/>
      <x:c r="I23" s="517" t="str">
        <x:v>桌面收纳架</x:v>
      </x:c>
      <x:c r="J23" s="505" t="n">
        <x:f>SUMIFS('数据处理'!$O$5:$O$229,'数据处理'!$F$5:$F$229,I23)</x:f>
        <x:v>6078.700000000003</x:v>
      </x:c>
      <x:c r="K23" s="505" t="n">
        <x:f>SUMIFS('数据处理'!$G$5:$G$229,'数据处理'!$F$5:$F$229,I23,'数据处理'!$J$5:$J$229,0)</x:f>
        <x:v>72</x:v>
      </x:c>
      <x:c r="L23" s="505" t="n">
        <x:f>SUMIFS('数据处理'!$Q$5:$Q$229,'数据处理'!$F$5:$F$229,I23)</x:f>
        <x:v>3774.7000000000003</x:v>
      </x:c>
      <x:c r="M23" s="507" t="n">
        <x:f>IF(J23=0,0,L23/J23)</x:f>
        <x:v>0.6209715893200847</x:v>
      </x:c>
      <x:c r="N23" s="507" t="n">
        <x:f>IF(COUNTIF('数据处理'!$F$5:$F$229,I23)=0,0,COUNTIFS('数据处理'!$F$5:$F$229,I23,'数据处理'!$J$5:$J$229,1)/COUNTIF('数据处理'!$F$5:$F$229,I23))</x:f>
        <x:v>0.05555555555555555</x:v>
      </x:c>
    </x:row>
    <x:row r="24">
      <x:c r="A24" s="517" t="str">
        <x:v>自然搜索</x:v>
      </x:c>
      <x:c r="B24" s="505" t="n">
        <x:f>SUMIFS('数据处理'!$O$5:$O$229,'数据处理'!$E$5:$E$229,A24)</x:f>
        <x:v>10283.950000000003</x:v>
      </x:c>
      <x:c r="C24" s="505" t="n">
        <x:f>COUNTIFS('数据处理'!$E$5:$E$229,A24,'数据处理'!$J$5:$J$229,0)</x:f>
        <x:v>65</x:v>
      </x:c>
      <x:c r="D24" s="505" t="n">
        <x:f>SUMIFS('数据处理'!$Q$5:$Q$229,'数据处理'!$E$5:$E$229,A24)</x:f>
        <x:v>5631.950000000002</x:v>
      </x:c>
      <x:c r="E24" s="507" t="n">
        <x:f>IF(B24=0,0,D24/B24)</x:f>
        <x:v>0.5476446307109623</x:v>
      </x:c>
      <x:c r="F24" s="505" t="n">
        <x:f>SUMIFS('广告投入'!$C$5:$C$16,'广告投入'!$B$5:$B$16,A24)</x:f>
        <x:v>2700</x:v>
      </x:c>
      <x:c r="G24" s="509" t="n">
        <x:f>IF(F24=0,0,B24/F24)</x:f>
        <x:v>3.8088703703703715</x:v>
      </x:c>
      <x:c r="H24" s="100"/>
      <x:c r="I24" s="517" t="str">
        <x:v>便携补光灯</x:v>
      </x:c>
      <x:c r="J24" s="505" t="n">
        <x:f>SUMIFS('数据处理'!$O$5:$O$229,'数据处理'!$F$5:$F$229,I24)</x:f>
        <x:v>10533.750000000002</x:v>
      </x:c>
      <x:c r="K24" s="505" t="n">
        <x:f>SUMIFS('数据处理'!$G$5:$G$229,'数据处理'!$F$5:$F$229,I24,'数据处理'!$J$5:$J$229,0)</x:f>
        <x:v>71</x:v>
      </x:c>
      <x:c r="L24" s="505" t="n">
        <x:f>SUMIFS('数据处理'!$Q$5:$Q$229,'数据处理'!$F$5:$F$229,I24)</x:f>
        <x:v>5421.750000000002</x:v>
      </x:c>
      <x:c r="M24" s="507" t="n">
        <x:f>IF(J24=0,0,L24/J24)</x:f>
        <x:v>0.5147027411890354</x:v>
      </x:c>
      <x:c r="N24" s="507" t="n">
        <x:f>IF(COUNTIF('数据处理'!$F$5:$F$229,I24)=0,0,COUNTIFS('数据处理'!$F$5:$F$229,I24,'数据处理'!$J$5:$J$229,1)/COUNTIF('数据处理'!$F$5:$F$229,I24))</x:f>
        <x:v>0.05357142857142857</x:v>
      </x:c>
    </x:row>
    <x:row r="25">
      <x:c r="A25" s="518" t="str">
        <x:v>老客复购</x:v>
      </x:c>
      <x:c r="B25" s="512" t="n">
        <x:f>SUMIFS('数据处理'!$O$5:$O$229,'数据处理'!$E$5:$E$229,A25)</x:f>
        <x:v>6452.750000000001</x:v>
      </x:c>
      <x:c r="C25" s="512" t="n">
        <x:f>COUNTIFS('数据处理'!$E$5:$E$229,A25,'数据处理'!$J$5:$J$229,0)</x:f>
        <x:v>37</x:v>
      </x:c>
      <x:c r="D25" s="512" t="n">
        <x:f>SUMIFS('数据处理'!$Q$5:$Q$229,'数据处理'!$E$5:$E$229,A25)</x:f>
        <x:v>3462.7500000000005</x:v>
      </x:c>
      <x:c r="E25" s="519" t="n">
        <x:f>IF(B25=0,0,D25/B25)</x:f>
        <x:v>0.5366316686683972</x:v>
      </x:c>
      <x:c r="F25" s="512" t="n">
        <x:f>SUMIFS('广告投入'!$C$5:$C$16,'广告投入'!$B$5:$B$16,A25)</x:f>
        <x:v>1300</x:v>
      </x:c>
      <x:c r="G25" s="520" t="n">
        <x:f>IF(F25=0,0,B25/F25)</x:f>
        <x:v>4.963653846153846</x:v>
      </x:c>
      <x:c r="H25" s="100"/>
      <x:c r="I25" s="518" t="str">
        <x:v>无线标签机</x:v>
      </x:c>
      <x:c r="J25" s="512" t="n">
        <x:f>SUMIFS('数据处理'!$O$5:$O$229,'数据处理'!$F$5:$F$229,I25)</x:f>
        <x:v>12475.800000000001</x:v>
      </x:c>
      <x:c r="K25" s="512" t="n">
        <x:f>SUMIFS('数据处理'!$G$5:$G$229,'数据处理'!$F$5:$F$229,I25,'数据处理'!$J$5:$J$229,0)</x:f>
        <x:v>55</x:v>
      </x:c>
      <x:c r="L25" s="512" t="n">
        <x:f>SUMIFS('数据处理'!$Q$5:$Q$229,'数据处理'!$F$5:$F$229,I25)</x:f>
        <x:v>5985.800000000002</x:v>
      </x:c>
      <x:c r="M25" s="519" t="n">
        <x:f>IF(J25=0,0,L25/J25)</x:f>
        <x:v>0.47979287901377077</x:v>
      </x:c>
      <x:c r="N25" s="519" t="n">
        <x:f>IF(COUNTIF('数据处理'!$F$5:$F$229,I25)=0,0,COUNTIFS('数据处理'!$F$5:$F$229,I25,'数据处理'!$J$5:$J$229,1)/COUNTIF('数据处理'!$F$5:$F$229,I25))</x:f>
        <x:v>0</x:v>
      </x:c>
    </x:row>
    <x:row r="26">
      <x:c r="A26" s="100"/>
      <x:c r="B26" s="100"/>
      <x:c r="C26" s="100"/>
      <x:c r="D26" s="100"/>
      <x:c r="E26" s="100"/>
      <x:c r="F26" s="100"/>
      <x:c r="G26" s="100"/>
      <x:c r="H26" s="100"/>
      <x:c r="I26" s="100"/>
      <x:c r="J26" s="100"/>
      <x:c r="K26" s="100"/>
      <x:c r="L26" s="100"/>
      <x:c r="M26" s="100"/>
      <x:c r="N26" s="100"/>
    </x:row>
    <x:row r="27">
      <x:c r="A27" s="100"/>
      <x:c r="B27" s="100"/>
      <x:c r="C27" s="100"/>
      <x:c r="D27" s="100"/>
      <x:c r="E27" s="100"/>
      <x:c r="F27" s="100"/>
      <x:c r="G27" s="100"/>
      <x:c r="H27" s="100"/>
      <x:c r="I27" s="100"/>
      <x:c r="J27" s="100"/>
      <x:c r="K27" s="100"/>
      <x:c r="L27" s="100"/>
      <x:c r="M27" s="100"/>
      <x:c r="N27" s="100"/>
    </x:row>
    <x:row r="28">
      <x:c r="A28" s="100"/>
      <x:c r="B28" s="100"/>
      <x:c r="C28" s="100"/>
      <x:c r="D28" s="100"/>
      <x:c r="E28" s="100"/>
      <x:c r="F28" s="100"/>
      <x:c r="G28" s="100"/>
      <x:c r="H28" s="100"/>
      <x:c r="I28" s="100"/>
      <x:c r="J28" s="100"/>
      <x:c r="K28" s="100"/>
      <x:c r="L28" s="100"/>
      <x:c r="M28" s="100"/>
      <x:c r="N28" s="100"/>
    </x:row>
    <x:row r="29" ht="26" customHeight="1">
      <x:c r="A29" s="101" t="str">
        <x:v>图表辅助区（公式驱动）</x:v>
      </x:c>
      <x:c r="B29" s="101" t="str">
        <x:v>图表辅助区（公式驱动）</x:v>
      </x:c>
      <x:c r="C29" s="101" t="str">
        <x:v>图表辅助区（公式驱动）</x:v>
      </x:c>
      <x:c r="D29" s="101" t="str">
        <x:v>图表辅助区（公式驱动）</x:v>
      </x:c>
      <x:c r="E29" s="101" t="str">
        <x:v>图表辅助区（公式驱动）</x:v>
      </x:c>
      <x:c r="F29" s="101" t="str">
        <x:v>图表辅助区（公式驱动）</x:v>
      </x:c>
      <x:c r="G29" s="101" t="str">
        <x:v>图表辅助区（公式驱动）</x:v>
      </x:c>
      <x:c r="H29" s="101" t="str">
        <x:v>图表辅助区（公式驱动）</x:v>
      </x:c>
      <x:c r="I29" s="101" t="str">
        <x:v>图表辅助区（公式驱动）</x:v>
      </x:c>
      <x:c r="J29" s="101" t="str">
        <x:v>图表辅助区（公式驱动）</x:v>
      </x:c>
      <x:c r="K29" s="101" t="str">
        <x:v>图表辅助区（公式驱动）</x:v>
      </x:c>
      <x:c r="L29" s="101" t="str">
        <x:v>图表辅助区（公式驱动）</x:v>
      </x:c>
      <x:c r="M29" s="101" t="str">
        <x:v>图表辅助区（公式驱动）</x:v>
      </x:c>
      <x:c r="N29" s="101" t="str">
        <x:v>图表辅助区（公式驱动）</x:v>
      </x:c>
    </x:row>
    <x:row r="30">
      <x:c r="A30" s="100"/>
      <x:c r="B30" s="100"/>
      <x:c r="C30" s="100"/>
      <x:c r="D30" s="100"/>
      <x:c r="E30" s="100"/>
      <x:c r="F30" s="100"/>
      <x:c r="G30" s="100"/>
      <x:c r="H30" s="100"/>
      <x:c r="I30" s="100"/>
      <x:c r="J30" s="100"/>
      <x:c r="K30" s="100"/>
      <x:c r="L30" s="100"/>
      <x:c r="M30" s="100"/>
      <x:c r="N30" s="100"/>
    </x:row>
    <x:row r="31" ht="28" customHeight="1">
      <x:c r="A31" s="111" t="str">
        <x:v>月份</x:v>
      </x:c>
      <x:c r="B31" s="113" t="str">
        <x:v>净销售额</x:v>
      </x:c>
      <x:c r="C31" s="112" t="str">
        <x:v>毛利润</x:v>
      </x:c>
      <x:c r="D31" s="100"/>
      <x:c r="E31" s="100"/>
      <x:c r="F31" s="100"/>
      <x:c r="G31" s="100"/>
      <x:c r="H31" s="100"/>
      <x:c r="I31" s="111" t="str">
        <x:v>渠道</x:v>
      </x:c>
      <x:c r="J31" s="112" t="str">
        <x:v>净销售额</x:v>
      </x:c>
      <x:c r="K31" s="100"/>
      <x:c r="L31" s="100"/>
      <x:c r="M31" s="100"/>
      <x:c r="N31" s="100"/>
    </x:row>
    <x:row r="32">
      <x:c r="A32" s="521" t="str">
        <x:f>TEXT(B5,"yyyy-mm")</x:f>
        <x:v>2026-05</x:v>
      </x:c>
      <x:c r="B32" s="522" t="n">
        <x:f>B6</x:f>
        <x:v>10468.900000000003</x:v>
      </x:c>
      <x:c r="C32" s="522" t="n">
        <x:f>B9</x:f>
        <x:v>5680.9000000000015</x:v>
      </x:c>
      <x:c r="D32" s="100"/>
      <x:c r="E32" s="100"/>
      <x:c r="F32" s="100"/>
      <x:c r="G32" s="100"/>
      <x:c r="H32" s="100"/>
      <x:c r="I32" s="521" t="str">
        <x:f>A22</x:f>
        <x:v>抖音广告</x:v>
      </x:c>
      <x:c r="J32" s="522" t="n">
        <x:f>B22</x:f>
        <x:v>12716.500000000002</x:v>
      </x:c>
      <x:c r="K32" s="100"/>
      <x:c r="L32" s="100"/>
      <x:c r="M32" s="100"/>
      <x:c r="N32" s="100"/>
    </x:row>
    <x:row r="33">
      <x:c r="A33" s="521" t="str">
        <x:f>TEXT(C5,"yyyy-mm")</x:f>
        <x:v>2026-06</x:v>
      </x:c>
      <x:c r="B33" s="522" t="n">
        <x:f>C6</x:f>
        <x:v>13107.199999999999</x:v>
      </x:c>
      <x:c r="C33" s="522" t="n">
        <x:f>C9</x:f>
        <x:v>7171.200000000004</x:v>
      </x:c>
      <x:c r="D33" s="100"/>
      <x:c r="E33" s="100"/>
      <x:c r="F33" s="100"/>
      <x:c r="G33" s="100"/>
      <x:c r="H33" s="100"/>
      <x:c r="I33" s="521" t="str">
        <x:f>A23</x:f>
        <x:v>小红书</x:v>
      </x:c>
      <x:c r="J33" s="522" t="n">
        <x:f>B23</x:f>
        <x:v>9123</x:v>
      </x:c>
      <x:c r="K33" s="100"/>
      <x:c r="L33" s="100"/>
      <x:c r="M33" s="100"/>
      <x:c r="N33" s="100"/>
    </x:row>
    <x:row r="34">
      <x:c r="A34" s="521" t="str">
        <x:f>TEXT(D5,"yyyy-mm")</x:f>
        <x:v>2026-07</x:v>
      </x:c>
      <x:c r="B34" s="522" t="n">
        <x:f>D6</x:f>
        <x:v>15000.1</x:v>
      </x:c>
      <x:c r="C34" s="522" t="n">
        <x:f>D9</x:f>
        <x:v>8074.100000000004</x:v>
      </x:c>
      <x:c r="D34" s="100"/>
      <x:c r="E34" s="100"/>
      <x:c r="F34" s="100"/>
      <x:c r="G34" s="100"/>
      <x:c r="H34" s="100"/>
      <x:c r="I34" s="521" t="str">
        <x:f>A24</x:f>
        <x:v>自然搜索</x:v>
      </x:c>
      <x:c r="J34" s="522" t="n">
        <x:f>B24</x:f>
        <x:v>10283.950000000003</x:v>
      </x:c>
      <x:c r="K34" s="100"/>
      <x:c r="L34" s="100"/>
      <x:c r="M34" s="100"/>
      <x:c r="N34" s="100"/>
    </x:row>
    <x:row r="35">
      <x:c r="A35" s="100"/>
      <x:c r="B35" s="100"/>
      <x:c r="C35" s="100"/>
      <x:c r="D35" s="100"/>
      <x:c r="E35" s="100"/>
      <x:c r="F35" s="100"/>
      <x:c r="G35" s="100"/>
      <x:c r="H35" s="100"/>
      <x:c r="I35" s="521" t="str">
        <x:f>A25</x:f>
        <x:v>老客复购</x:v>
      </x:c>
      <x:c r="J35" s="522" t="n">
        <x:f>B25</x:f>
        <x:v>6452.750000000001</x:v>
      </x:c>
      <x:c r="K35" s="100"/>
      <x:c r="L35" s="100"/>
      <x:c r="M35" s="100"/>
      <x:c r="N35" s="100"/>
    </x:row>
  </x:sheetData>
  <x:mergeCells>
    <x:mergeCell ref="A1:N1"/>
    <x:mergeCell ref="A2:N2"/>
    <x:mergeCell ref="A4:E4"/>
    <x:mergeCell ref="A20:G20"/>
    <x:mergeCell ref="I20:N20"/>
    <x:mergeCell ref="A29:N29"/>
  </x:mergeCells>
  <x:conditionalFormatting sqref="G22:G25">
    <x:cfRule type="colorScale" priority="1">
      <x:colorScale>
        <x:cfvo type="min"/>
        <x:cfvo type="percentile" val="50"/>
        <x:cfvo type="max"/>
        <x:color rgb="FFFCE4DE"/>
        <x:color rgb="FFFFF4CC"/>
        <x:color rgb="FFDDF3EF"/>
      </x:colorScale>
    </x:cfRule>
  </x:conditionalFormatting>
  <x:conditionalFormatting sqref="N22:N25">
    <x:cfRule type="colorScale" priority="2">
      <x:colorScale>
        <x:cfvo type="min"/>
        <x:cfvo type="percentile" val="50"/>
        <x:cfvo type="max"/>
        <x:color rgb="FFDDF3EF"/>
        <x:color rgb="FFFFF4CC"/>
        <x:color rgb="FFFCE4DE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3" hidden="0" customWidth="1"/>
    <x:col min="5" max="5" width="11" hidden="0" customWidth="1"/>
    <x:col min="6" max="6" width="11" hidden="0" customWidth="1"/>
    <x:col min="7" max="7" width="13" hidden="0" customWidth="1"/>
    <x:col min="8" max="8" width="11" hidden="0" customWidth="1"/>
    <x:col min="9" max="9" width="11" hidden="0" customWidth="1"/>
    <x:col min="10" max="10" width="13" hidden="0" customWidth="1"/>
    <x:col min="11" max="11" width="11" hidden="0" customWidth="1"/>
    <x:col min="12" max="12" width="11" hidden="0" customWidth="1"/>
    <x:col min="13" max="13" width="13" hidden="0" customWidth="1"/>
    <x:col min="14" max="14" width="11" hidden="0" customWidth="1"/>
    <x:col min="15" max="15" width="11" hidden="0" customWidth="1"/>
  </x:cols>
  <x:sheetData>
    <x:row r="1" ht="36" customHeight="1">
      <x:c r="A1" s="98" t="str">
        <x:v>经营仪表盘</x:v>
      </x:c>
      <x:c r="B1" s="98" t="str">
        <x:v>经营仪表盘</x:v>
      </x:c>
      <x:c r="C1" s="98" t="str">
        <x:v>经营仪表盘</x:v>
      </x:c>
      <x:c r="D1" s="98" t="str">
        <x:v>经营仪表盘</x:v>
      </x:c>
      <x:c r="E1" s="98" t="str">
        <x:v>经营仪表盘</x:v>
      </x:c>
      <x:c r="F1" s="98" t="str">
        <x:v>经营仪表盘</x:v>
      </x:c>
      <x:c r="G1" s="98" t="str">
        <x:v>经营仪表盘</x:v>
      </x:c>
      <x:c r="H1" s="98" t="str">
        <x:v>经营仪表盘</x:v>
      </x:c>
      <x:c r="I1" s="98" t="str">
        <x:v>经营仪表盘</x:v>
      </x:c>
      <x:c r="J1" s="98" t="str">
        <x:v>经营仪表盘</x:v>
      </x:c>
      <x:c r="K1" s="98" t="str">
        <x:v>经营仪表盘</x:v>
      </x:c>
      <x:c r="L1" s="98" t="str">
        <x:v>经营仪表盘</x:v>
      </x:c>
      <x:c r="M1" s="98" t="str">
        <x:v>经营仪表盘</x:v>
      </x:c>
      <x:c r="N1" s="98" t="str">
        <x:v>经营仪表盘</x:v>
      </x:c>
      <x:c r="O1" s="98" t="str">
        <x:v>经营仪表盘</x:v>
      </x:c>
    </x:row>
    <x:row r="2" ht="24" customHeight="1">
      <x:c r="A2" s="99" t="str">
        <x:v>模拟电商店铺｜2026-05 至 2026-07｜管理层一页视图｜所有金额单位：CNY</x:v>
      </x:c>
      <x:c r="B2" s="99" t="str">
        <x:v>模拟电商店铺｜2026-05 至 2026-07｜管理层一页视图｜所有金额单位：CNY</x:v>
      </x:c>
      <x:c r="C2" s="99" t="str">
        <x:v>模拟电商店铺｜2026-05 至 2026-07｜管理层一页视图｜所有金额单位：CNY</x:v>
      </x:c>
      <x:c r="D2" s="99" t="str">
        <x:v>模拟电商店铺｜2026-05 至 2026-07｜管理层一页视图｜所有金额单位：CNY</x:v>
      </x:c>
      <x:c r="E2" s="99" t="str">
        <x:v>模拟电商店铺｜2026-05 至 2026-07｜管理层一页视图｜所有金额单位：CNY</x:v>
      </x:c>
      <x:c r="F2" s="99" t="str">
        <x:v>模拟电商店铺｜2026-05 至 2026-07｜管理层一页视图｜所有金额单位：CNY</x:v>
      </x:c>
      <x:c r="G2" s="99" t="str">
        <x:v>模拟电商店铺｜2026-05 至 2026-07｜管理层一页视图｜所有金额单位：CNY</x:v>
      </x:c>
      <x:c r="H2" s="99" t="str">
        <x:v>模拟电商店铺｜2026-05 至 2026-07｜管理层一页视图｜所有金额单位：CNY</x:v>
      </x:c>
      <x:c r="I2" s="99" t="str">
        <x:v>模拟电商店铺｜2026-05 至 2026-07｜管理层一页视图｜所有金额单位：CNY</x:v>
      </x:c>
      <x:c r="J2" s="99" t="str">
        <x:v>模拟电商店铺｜2026-05 至 2026-07｜管理层一页视图｜所有金额单位：CNY</x:v>
      </x:c>
      <x:c r="K2" s="99" t="str">
        <x:v>模拟电商店铺｜2026-05 至 2026-07｜管理层一页视图｜所有金额单位：CNY</x:v>
      </x:c>
      <x:c r="L2" s="99" t="str">
        <x:v>模拟电商店铺｜2026-05 至 2026-07｜管理层一页视图｜所有金额单位：CNY</x:v>
      </x:c>
      <x:c r="M2" s="99" t="str">
        <x:v>模拟电商店铺｜2026-05 至 2026-07｜管理层一页视图｜所有金额单位：CNY</x:v>
      </x:c>
      <x:c r="N2" s="99" t="str">
        <x:v>模拟电商店铺｜2026-05 至 2026-07｜管理层一页视图｜所有金额单位：CNY</x:v>
      </x:c>
      <x:c r="O2" s="99" t="str">
        <x:v>模拟电商店铺｜2026-05 至 2026-07｜管理层一页视图｜所有金额单位：CNY</x:v>
      </x:c>
    </x:row>
    <x:row r="3">
      <x:c r="A3" s="100"/>
      <x:c r="B3" s="100"/>
      <x:c r="C3" s="100"/>
      <x:c r="D3" s="100"/>
      <x:c r="E3" s="100"/>
      <x:c r="F3" s="100"/>
      <x:c r="G3" s="100"/>
      <x:c r="H3" s="100"/>
      <x:c r="I3" s="100"/>
      <x:c r="J3" s="100"/>
      <x:c r="K3" s="100"/>
      <x:c r="L3" s="100"/>
      <x:c r="M3" s="100"/>
      <x:c r="N3" s="100"/>
      <x:c r="O3" s="100"/>
    </x:row>
    <x:row r="4">
      <x:c r="A4" s="523" t="str">
        <x:v>本期净销售额</x:v>
      </x:c>
      <x:c r="B4" s="524" t="str">
        <x:v>本期净销售额</x:v>
      </x:c>
      <x:c r="C4" s="525" t="str">
        <x:v>本期净销售额</x:v>
      </x:c>
      <x:c r="D4" s="526" t="str">
        <x:v>本期毛利润</x:v>
      </x:c>
      <x:c r="E4" s="527" t="str">
        <x:v>本期毛利润</x:v>
      </x:c>
      <x:c r="F4" s="528" t="str">
        <x:v>本期毛利润</x:v>
      </x:c>
      <x:c r="G4" s="529" t="str">
        <x:v>综合毛利率</x:v>
      </x:c>
      <x:c r="H4" s="530" t="str">
        <x:v>综合毛利率</x:v>
      </x:c>
      <x:c r="I4" s="531" t="str">
        <x:v>综合毛利率</x:v>
      </x:c>
      <x:c r="J4" s="523" t="str">
        <x:v>综合 ROAS</x:v>
      </x:c>
      <x:c r="K4" s="524" t="str">
        <x:v>综合 ROAS</x:v>
      </x:c>
      <x:c r="L4" s="525" t="str">
        <x:v>综合 ROAS</x:v>
      </x:c>
      <x:c r="M4" s="532" t="str">
        <x:v>退款率</x:v>
      </x:c>
      <x:c r="N4" s="533" t="str">
        <x:v>退款率</x:v>
      </x:c>
      <x:c r="O4" s="534" t="str">
        <x:v>退款率</x:v>
      </x:c>
    </x:row>
    <x:row r="5">
      <x:c r="A5" s="535" t="n">
        <x:f>'月度分析'!E6</x:f>
        <x:v>38576.200000000004</x:v>
      </x:c>
      <x:c r="B5" s="536"/>
      <x:c r="C5" s="537"/>
      <x:c r="D5" s="538" t="n">
        <x:f>'月度分析'!E9</x:f>
        <x:v>20926.20000000001</x:v>
      </x:c>
      <x:c r="E5" s="539"/>
      <x:c r="F5" s="540"/>
      <x:c r="G5" s="541" t="n">
        <x:f>'月度分析'!E10</x:f>
        <x:v>0.5424640063044055</x:v>
      </x:c>
      <x:c r="H5" s="542"/>
      <x:c r="I5" s="543"/>
      <x:c r="J5" s="544" t="n">
        <x:f>'月度分析'!E12</x:f>
        <x:v>1.1689757575757578</x:v>
      </x:c>
      <x:c r="K5" s="545"/>
      <x:c r="L5" s="546"/>
      <x:c r="M5" s="547" t="n">
        <x:f>'月度分析'!E14</x:f>
        <x:v>0.035555555555555556</x:v>
      </x:c>
      <x:c r="N5" s="548"/>
      <x:c r="O5" s="549"/>
    </x:row>
    <x:row r="6">
      <x:c r="A6" s="550"/>
      <x:c r="B6" s="551"/>
      <x:c r="C6" s="552"/>
      <x:c r="D6" s="553"/>
      <x:c r="E6" s="554"/>
      <x:c r="F6" s="555"/>
      <x:c r="G6" s="556"/>
      <x:c r="H6" s="557"/>
      <x:c r="I6" s="558"/>
      <x:c r="J6" s="559"/>
      <x:c r="K6" s="560"/>
      <x:c r="L6" s="561"/>
      <x:c r="M6" s="562"/>
      <x:c r="N6" s="563"/>
      <x:c r="O6" s="564"/>
    </x:row>
    <x:row r="7">
      <x:c r="A7" s="100"/>
      <x:c r="B7" s="100"/>
      <x:c r="C7" s="100"/>
      <x:c r="D7" s="100"/>
      <x:c r="E7" s="100"/>
      <x:c r="F7" s="100"/>
      <x:c r="G7" s="100"/>
      <x:c r="H7" s="100"/>
      <x:c r="I7" s="100"/>
      <x:c r="J7" s="100"/>
      <x:c r="K7" s="100"/>
      <x:c r="L7" s="100"/>
      <x:c r="M7" s="100"/>
      <x:c r="N7" s="100"/>
      <x:c r="O7" s="100"/>
    </x:row>
    <x:row r="8">
      <x:c r="A8" s="565" t="str">
        <x:v>有效订单</x:v>
      </x:c>
      <x:c r="B8" s="566" t="str">
        <x:v>有效订单</x:v>
      </x:c>
      <x:c r="C8" s="567" t="str">
        <x:v>有效订单</x:v>
      </x:c>
      <x:c r="D8" s="565" t="str">
        <x:v>平均客单价</x:v>
      </x:c>
      <x:c r="E8" s="566" t="str">
        <x:v>平均客单价</x:v>
      </x:c>
      <x:c r="F8" s="567" t="str">
        <x:v>平均客单价</x:v>
      </x:c>
      <x:c r="G8" s="565" t="str">
        <x:v>广告投入</x:v>
      </x:c>
      <x:c r="H8" s="566" t="str">
        <x:v>广告投入</x:v>
      </x:c>
      <x:c r="I8" s="567" t="str">
        <x:v>广告投入</x:v>
      </x:c>
      <x:c r="J8" s="565" t="str">
        <x:v>新客 CAC</x:v>
      </x:c>
      <x:c r="K8" s="566" t="str">
        <x:v>新客 CAC</x:v>
      </x:c>
      <x:c r="L8" s="567" t="str">
        <x:v>新客 CAC</x:v>
      </x:c>
      <x:c r="M8" s="565" t="str">
        <x:v>最新月收入环比</x:v>
      </x:c>
      <x:c r="N8" s="566" t="str">
        <x:v>最新月收入环比</x:v>
      </x:c>
      <x:c r="O8" s="567" t="str">
        <x:v>最新月收入环比</x:v>
      </x:c>
    </x:row>
    <x:row r="9">
      <x:c r="A9" s="568" t="n">
        <x:f>'月度分析'!E7</x:f>
        <x:v>217</x:v>
      </x:c>
      <x:c r="B9" s="569"/>
      <x:c r="C9" s="570"/>
      <x:c r="D9" s="568" t="n">
        <x:f>'月度分析'!E13</x:f>
        <x:v>177.7705069124424</x:v>
      </x:c>
      <x:c r="E9" s="569"/>
      <x:c r="F9" s="570"/>
      <x:c r="G9" s="568" t="n">
        <x:f>'月度分析'!E11</x:f>
        <x:v>33000</x:v>
      </x:c>
      <x:c r="H9" s="569"/>
      <x:c r="I9" s="570"/>
      <x:c r="J9" s="568" t="n">
        <x:f>'月度分析'!E17</x:f>
        <x:v>107.84313725490196</x:v>
      </x:c>
      <x:c r="K9" s="569"/>
      <x:c r="L9" s="570"/>
      <x:c r="M9" s="571" t="n">
        <x:f>IF('月度分析'!C6=0,0,'月度分析'!D6/'月度分析'!C6-1)</x:f>
        <x:v>0.14441680908203147</x:v>
      </x:c>
      <x:c r="N9" s="572"/>
      <x:c r="O9" s="573"/>
    </x:row>
    <x:row r="10">
      <x:c r="A10" s="574"/>
      <x:c r="B10" s="575"/>
      <x:c r="C10" s="576"/>
      <x:c r="D10" s="574"/>
      <x:c r="E10" s="575"/>
      <x:c r="F10" s="576"/>
      <x:c r="G10" s="574"/>
      <x:c r="H10" s="575"/>
      <x:c r="I10" s="576"/>
      <x:c r="J10" s="574"/>
      <x:c r="K10" s="575"/>
      <x:c r="L10" s="576"/>
      <x:c r="M10" s="577"/>
      <x:c r="N10" s="578"/>
      <x:c r="O10" s="579"/>
    </x:row>
    <x:row r="11">
      <x:c r="A11" s="100"/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0"/>
    </x:row>
    <x:row r="12">
      <x:c r="A12" s="100"/>
      <x:c r="B12" s="100"/>
      <x:c r="C12" s="100"/>
      <x:c r="D12" s="100"/>
      <x:c r="E12" s="100"/>
      <x:c r="F12" s="100"/>
      <x:c r="G12" s="100"/>
      <x:c r="H12" s="100"/>
      <x:c r="I12" s="100"/>
      <x:c r="J12" s="100"/>
      <x:c r="K12" s="100"/>
      <x:c r="L12" s="100"/>
      <x:c r="M12" s="100"/>
      <x:c r="N12" s="100"/>
      <x:c r="O12" s="100"/>
    </x:row>
    <x:row r="13">
      <x:c r="A13" s="100"/>
      <x:c r="B13" s="100"/>
      <x:c r="C13" s="100"/>
      <x:c r="D13" s="100"/>
      <x:c r="E13" s="100"/>
      <x:c r="F13" s="100"/>
      <x:c r="G13" s="100"/>
      <x:c r="H13" s="100"/>
      <x:c r="I13" s="100"/>
      <x:c r="J13" s="100"/>
      <x:c r="K13" s="100"/>
      <x:c r="L13" s="100"/>
      <x:c r="M13" s="100"/>
      <x:c r="N13" s="100"/>
      <x:c r="O13" s="100"/>
    </x:row>
    <x:row r="14">
      <x:c r="A14" s="100"/>
      <x:c r="B14" s="100"/>
      <x:c r="C14" s="100"/>
      <x:c r="D14" s="100"/>
      <x:c r="E14" s="100"/>
      <x:c r="F14" s="100"/>
      <x:c r="G14" s="100"/>
      <x:c r="H14" s="100"/>
      <x:c r="I14" s="100"/>
      <x:c r="J14" s="100"/>
      <x:c r="K14" s="100"/>
      <x:c r="L14" s="100"/>
      <x:c r="M14" s="100"/>
      <x:c r="N14" s="100"/>
      <x:c r="O14" s="100"/>
    </x:row>
    <x:row r="15">
      <x:c r="A15" s="100"/>
      <x:c r="B15" s="100"/>
      <x:c r="C15" s="100"/>
      <x:c r="D15" s="100"/>
      <x:c r="E15" s="100"/>
      <x:c r="F15" s="100"/>
      <x:c r="G15" s="100"/>
      <x:c r="H15" s="100"/>
      <x:c r="I15" s="100"/>
      <x:c r="J15" s="100"/>
      <x:c r="K15" s="100"/>
      <x:c r="L15" s="100"/>
      <x:c r="M15" s="100"/>
      <x:c r="N15" s="100"/>
      <x:c r="O15" s="100"/>
    </x:row>
    <x:row r="16">
      <x:c r="A16" s="100"/>
      <x:c r="B16" s="100"/>
      <x:c r="C16" s="100"/>
      <x:c r="D16" s="100"/>
      <x:c r="E16" s="100"/>
      <x:c r="F16" s="100"/>
      <x:c r="G16" s="100"/>
      <x:c r="H16" s="100"/>
      <x:c r="I16" s="100"/>
      <x:c r="J16" s="100"/>
      <x:c r="K16" s="100"/>
      <x:c r="L16" s="100"/>
      <x:c r="M16" s="100"/>
      <x:c r="N16" s="100"/>
      <x:c r="O16" s="100"/>
    </x:row>
    <x:row r="17">
      <x:c r="A17" s="100"/>
      <x:c r="B17" s="100"/>
      <x:c r="C17" s="100"/>
      <x:c r="D17" s="100"/>
      <x:c r="E17" s="100"/>
      <x:c r="F17" s="100"/>
      <x:c r="G17" s="100"/>
      <x:c r="H17" s="100"/>
      <x:c r="I17" s="100"/>
      <x:c r="J17" s="100"/>
      <x:c r="K17" s="100"/>
      <x:c r="L17" s="100"/>
      <x:c r="M17" s="100"/>
      <x:c r="N17" s="100"/>
      <x:c r="O17" s="100"/>
    </x:row>
    <x:row r="18">
      <x:c r="A18" s="100"/>
      <x:c r="B18" s="100"/>
      <x:c r="C18" s="100"/>
      <x:c r="D18" s="100"/>
      <x:c r="E18" s="100"/>
      <x:c r="F18" s="100"/>
      <x:c r="G18" s="100"/>
      <x:c r="H18" s="100"/>
      <x:c r="I18" s="100"/>
      <x:c r="J18" s="100"/>
      <x:c r="K18" s="100"/>
      <x:c r="L18" s="100"/>
      <x:c r="M18" s="100"/>
      <x:c r="N18" s="100"/>
      <x:c r="O18" s="100"/>
    </x:row>
    <x:row r="19">
      <x:c r="A19" s="100"/>
      <x:c r="B19" s="100"/>
      <x:c r="C19" s="100"/>
      <x:c r="D19" s="100"/>
      <x:c r="E19" s="100"/>
      <x:c r="F19" s="100"/>
      <x:c r="G19" s="100"/>
      <x:c r="H19" s="100"/>
      <x:c r="I19" s="100"/>
      <x:c r="J19" s="100"/>
      <x:c r="K19" s="100"/>
      <x:c r="L19" s="100"/>
      <x:c r="M19" s="100"/>
      <x:c r="N19" s="100"/>
      <x:c r="O19" s="100"/>
    </x:row>
    <x:row r="20">
      <x:c r="A20" s="100"/>
      <x:c r="B20" s="100"/>
      <x:c r="C20" s="100"/>
      <x:c r="D20" s="100"/>
      <x:c r="E20" s="100"/>
      <x:c r="F20" s="100"/>
      <x:c r="G20" s="100"/>
      <x:c r="H20" s="100"/>
      <x:c r="I20" s="100"/>
      <x:c r="J20" s="100"/>
      <x:c r="K20" s="100"/>
      <x:c r="L20" s="100"/>
      <x:c r="M20" s="100"/>
      <x:c r="N20" s="100"/>
      <x:c r="O20" s="100"/>
    </x:row>
    <x:row r="21">
      <x:c r="A21" s="100"/>
      <x:c r="B21" s="100"/>
      <x:c r="C21" s="100"/>
      <x:c r="D21" s="100"/>
      <x:c r="E21" s="100"/>
      <x:c r="F21" s="100"/>
      <x:c r="G21" s="100"/>
      <x:c r="H21" s="100"/>
      <x:c r="I21" s="100"/>
      <x:c r="J21" s="100"/>
      <x:c r="K21" s="100"/>
      <x:c r="L21" s="100"/>
      <x:c r="M21" s="100"/>
      <x:c r="N21" s="100"/>
      <x:c r="O21" s="100"/>
    </x:row>
    <x:row r="22">
      <x:c r="A22" s="100"/>
      <x:c r="B22" s="100"/>
      <x:c r="C22" s="100"/>
      <x:c r="D22" s="100"/>
      <x:c r="E22" s="100"/>
      <x:c r="F22" s="100"/>
      <x:c r="G22" s="100"/>
      <x:c r="H22" s="100"/>
      <x:c r="I22" s="100"/>
      <x:c r="J22" s="100"/>
      <x:c r="K22" s="100"/>
      <x:c r="L22" s="100"/>
      <x:c r="M22" s="100"/>
      <x:c r="N22" s="100"/>
      <x:c r="O22" s="100"/>
    </x:row>
    <x:row r="23">
      <x:c r="A23" s="100"/>
      <x:c r="B23" s="100"/>
      <x:c r="C23" s="100"/>
      <x:c r="D23" s="100"/>
      <x:c r="E23" s="100"/>
      <x:c r="F23" s="100"/>
      <x:c r="G23" s="100"/>
      <x:c r="H23" s="100"/>
      <x:c r="I23" s="100"/>
      <x:c r="J23" s="100"/>
      <x:c r="K23" s="100"/>
      <x:c r="L23" s="100"/>
      <x:c r="M23" s="100"/>
      <x:c r="N23" s="100"/>
      <x:c r="O23" s="100"/>
    </x:row>
    <x:row r="24">
      <x:c r="A24" s="100"/>
      <x:c r="B24" s="100"/>
      <x:c r="C24" s="100"/>
      <x:c r="D24" s="100"/>
      <x:c r="E24" s="100"/>
      <x:c r="F24" s="100"/>
      <x:c r="G24" s="100"/>
      <x:c r="H24" s="100"/>
      <x:c r="I24" s="100"/>
      <x:c r="J24" s="100"/>
      <x:c r="K24" s="100"/>
      <x:c r="L24" s="100"/>
      <x:c r="M24" s="100"/>
      <x:c r="N24" s="100"/>
      <x:c r="O24" s="100"/>
    </x:row>
    <x:row r="25">
      <x:c r="A25" s="100"/>
      <x:c r="B25" s="100"/>
      <x:c r="C25" s="100"/>
      <x:c r="D25" s="100"/>
      <x:c r="E25" s="100"/>
      <x:c r="F25" s="100"/>
      <x:c r="G25" s="100"/>
      <x:c r="H25" s="100"/>
      <x:c r="I25" s="100"/>
      <x:c r="J25" s="100"/>
      <x:c r="K25" s="100"/>
      <x:c r="L25" s="100"/>
      <x:c r="M25" s="100"/>
      <x:c r="N25" s="100"/>
      <x:c r="O25" s="100"/>
    </x:row>
    <x:row r="26">
      <x:c r="A26" s="100"/>
      <x:c r="B26" s="100"/>
      <x:c r="C26" s="100"/>
      <x:c r="D26" s="100"/>
      <x:c r="E26" s="100"/>
      <x:c r="F26" s="100"/>
      <x:c r="G26" s="100"/>
      <x:c r="H26" s="100"/>
      <x:c r="I26" s="100"/>
      <x:c r="J26" s="100"/>
      <x:c r="K26" s="100"/>
      <x:c r="L26" s="100"/>
      <x:c r="M26" s="100"/>
      <x:c r="N26" s="100"/>
      <x:c r="O26" s="100"/>
    </x:row>
    <x:row r="27">
      <x:c r="A27" s="100"/>
      <x:c r="B27" s="100"/>
      <x:c r="C27" s="100"/>
      <x:c r="D27" s="100"/>
      <x:c r="E27" s="100"/>
      <x:c r="F27" s="100"/>
      <x:c r="G27" s="100"/>
      <x:c r="H27" s="100"/>
      <x:c r="I27" s="100"/>
      <x:c r="J27" s="100"/>
      <x:c r="K27" s="100"/>
      <x:c r="L27" s="100"/>
      <x:c r="M27" s="100"/>
      <x:c r="N27" s="100"/>
      <x:c r="O27" s="100"/>
    </x:row>
    <x:row r="28">
      <x:c r="A28" s="100"/>
      <x:c r="B28" s="100"/>
      <x:c r="C28" s="100"/>
      <x:c r="D28" s="100"/>
      <x:c r="E28" s="100"/>
      <x:c r="F28" s="100"/>
      <x:c r="G28" s="100"/>
      <x:c r="H28" s="100"/>
      <x:c r="I28" s="100"/>
      <x:c r="J28" s="100"/>
      <x:c r="K28" s="100"/>
      <x:c r="L28" s="100"/>
      <x:c r="M28" s="100"/>
      <x:c r="N28" s="100"/>
      <x:c r="O28" s="100"/>
    </x:row>
    <x:row r="29">
      <x:c r="A29" s="100"/>
      <x:c r="B29" s="100"/>
      <x:c r="C29" s="100"/>
      <x:c r="D29" s="100"/>
      <x:c r="E29" s="100"/>
      <x:c r="F29" s="100"/>
      <x:c r="G29" s="100"/>
      <x:c r="H29" s="100"/>
      <x:c r="I29" s="100"/>
      <x:c r="J29" s="100"/>
      <x:c r="K29" s="100"/>
      <x:c r="L29" s="100"/>
      <x:c r="M29" s="100"/>
      <x:c r="N29" s="100"/>
      <x:c r="O29" s="100"/>
    </x:row>
    <x:row r="30">
      <x:c r="A30" s="100"/>
      <x:c r="B30" s="100"/>
      <x:c r="C30" s="100"/>
      <x:c r="D30" s="100"/>
      <x:c r="E30" s="100"/>
      <x:c r="F30" s="100"/>
      <x:c r="G30" s="100"/>
      <x:c r="H30" s="100"/>
      <x:c r="I30" s="100"/>
      <x:c r="J30" s="100"/>
      <x:c r="K30" s="100"/>
      <x:c r="L30" s="100"/>
      <x:c r="M30" s="100"/>
      <x:c r="N30" s="100"/>
      <x:c r="O30" s="100"/>
    </x:row>
    <x:row r="31" ht="26" customHeight="1">
      <x:c r="A31" s="101" t="str">
        <x:v>自动经营结论</x:v>
      </x:c>
      <x:c r="B31" s="101" t="str">
        <x:v>自动经营结论</x:v>
      </x:c>
      <x:c r="C31" s="101" t="str">
        <x:v>自动经营结论</x:v>
      </x:c>
      <x:c r="D31" s="101" t="str">
        <x:v>自动经营结论</x:v>
      </x:c>
      <x:c r="E31" s="101" t="str">
        <x:v>自动经营结论</x:v>
      </x:c>
      <x:c r="F31" s="101" t="str">
        <x:v>自动经营结论</x:v>
      </x:c>
      <x:c r="G31" s="101" t="str">
        <x:v>自动经营结论</x:v>
      </x:c>
      <x:c r="H31" s="101" t="str">
        <x:v>自动经营结论</x:v>
      </x:c>
      <x:c r="I31" s="101" t="str">
        <x:v>自动经营结论</x:v>
      </x:c>
      <x:c r="J31" s="101" t="str">
        <x:v>自动经营结论</x:v>
      </x:c>
      <x:c r="K31" s="101" t="str">
        <x:v>自动经营结论</x:v>
      </x:c>
      <x:c r="L31" s="101" t="str">
        <x:v>自动经营结论</x:v>
      </x:c>
      <x:c r="M31" s="101" t="str">
        <x:v>自动经营结论</x:v>
      </x:c>
      <x:c r="N31" s="101" t="str">
        <x:v>自动经营结论</x:v>
      </x:c>
      <x:c r="O31" s="101" t="str">
        <x:v>自动经营结论</x:v>
      </x:c>
    </x:row>
    <x:row r="32">
      <x:c r="A32" s="100"/>
      <x:c r="B32" s="100"/>
      <x:c r="C32" s="100"/>
      <x:c r="D32" s="100"/>
      <x:c r="E32" s="100"/>
      <x:c r="F32" s="100"/>
      <x:c r="G32" s="100"/>
      <x:c r="H32" s="100"/>
      <x:c r="I32" s="100"/>
      <x:c r="J32" s="100"/>
      <x:c r="K32" s="100"/>
      <x:c r="L32" s="100"/>
      <x:c r="M32" s="100"/>
      <x:c r="N32" s="100"/>
      <x:c r="O32" s="100"/>
    </x:row>
    <x:row r="33" ht="28" customHeight="1">
      <x:c r="A33" s="580" t="str">
        <x:f>"收入趋势："&amp;IF('月度分析'!D6&gt;'月度分析'!C6*1.1,"7月较6月增长超过10%，增长明确。",IF('月度分析'!D6&lt;'月度分析'!C6*0.9,"7月较6月下降超过10%，需要检查流量与转化。","7月收入与6月基本稳定。"))</x:f>
        <x:v>收入趋势：7月较6月增长超过10%，增长明确。</x:v>
      </x:c>
      <x:c r="B33" s="581"/>
      <x:c r="C33" s="581"/>
      <x:c r="D33" s="581"/>
      <x:c r="E33" s="581"/>
      <x:c r="F33" s="581"/>
      <x:c r="G33" s="581"/>
      <x:c r="H33" s="581"/>
      <x:c r="I33" s="581"/>
      <x:c r="J33" s="581"/>
      <x:c r="K33" s="581"/>
      <x:c r="L33" s="581"/>
      <x:c r="M33" s="581"/>
      <x:c r="N33" s="581"/>
      <x:c r="O33" s="582"/>
    </x:row>
    <x:row r="34">
      <x:c r="A34" s="100"/>
      <x:c r="B34" s="100"/>
      <x:c r="C34" s="100"/>
      <x:c r="D34" s="100"/>
      <x:c r="E34" s="100"/>
      <x:c r="F34" s="100"/>
      <x:c r="G34" s="100"/>
      <x:c r="H34" s="100"/>
      <x:c r="I34" s="100"/>
      <x:c r="J34" s="100"/>
      <x:c r="K34" s="100"/>
      <x:c r="L34" s="100"/>
      <x:c r="M34" s="100"/>
      <x:c r="N34" s="100"/>
      <x:c r="O34" s="100"/>
    </x:row>
    <x:row r="35" ht="28" customHeight="1">
      <x:c r="A35" s="580" t="str">
        <x:f>"盈利质量："&amp;IF('月度分析'!E10&gt;=0.5,"综合毛利率达到50%以上，可继续保持产品组合。",IF('月度分析'!E10&gt;=0.4,"综合毛利率处于可接受区间，但需关注高折扣订单。","综合毛利率低于40%，建议复核成本与折扣。"))</x:f>
        <x:v>盈利质量：综合毛利率达到50%以上，可继续保持产品组合。</x:v>
      </x:c>
      <x:c r="B35" s="581"/>
      <x:c r="C35" s="581"/>
      <x:c r="D35" s="581"/>
      <x:c r="E35" s="581"/>
      <x:c r="F35" s="581"/>
      <x:c r="G35" s="581"/>
      <x:c r="H35" s="581"/>
      <x:c r="I35" s="581"/>
      <x:c r="J35" s="581"/>
      <x:c r="K35" s="581"/>
      <x:c r="L35" s="581"/>
      <x:c r="M35" s="581"/>
      <x:c r="N35" s="581"/>
      <x:c r="O35" s="582"/>
    </x:row>
    <x:row r="36">
      <x:c r="A36" s="100"/>
      <x:c r="B36" s="100"/>
      <x:c r="C36" s="100"/>
      <x:c r="D36" s="100"/>
      <x:c r="E36" s="100"/>
      <x:c r="F36" s="100"/>
      <x:c r="G36" s="100"/>
      <x:c r="H36" s="100"/>
      <x:c r="I36" s="100"/>
      <x:c r="J36" s="100"/>
      <x:c r="K36" s="100"/>
      <x:c r="L36" s="100"/>
      <x:c r="M36" s="100"/>
      <x:c r="N36" s="100"/>
      <x:c r="O36" s="100"/>
    </x:row>
    <x:row r="37" ht="28" customHeight="1">
      <x:c r="A37" s="580" t="str">
        <x:f>"投放效率："&amp;IF('月度分析'!E12&gt;=3,"综合ROAS达到3倍以上，投放效率良好。",IF('月度分析'!E12&gt;=2,"综合ROAS介于2至3倍，建议压缩低效渠道。","综合ROAS低于2倍，建议暂停扩量并复核归因。"))</x:f>
        <x:v>投放效率：综合ROAS低于2倍，建议暂停扩量并复核归因。</x:v>
      </x:c>
      <x:c r="B37" s="581"/>
      <x:c r="C37" s="581"/>
      <x:c r="D37" s="581"/>
      <x:c r="E37" s="581"/>
      <x:c r="F37" s="581"/>
      <x:c r="G37" s="581"/>
      <x:c r="H37" s="581"/>
      <x:c r="I37" s="581"/>
      <x:c r="J37" s="581"/>
      <x:c r="K37" s="581"/>
      <x:c r="L37" s="581"/>
      <x:c r="M37" s="581"/>
      <x:c r="N37" s="581"/>
      <x:c r="O37" s="582"/>
    </x:row>
    <x:row r="38">
      <x:c r="A38" s="100"/>
      <x:c r="B38" s="100"/>
      <x:c r="C38" s="100"/>
      <x:c r="D38" s="100"/>
      <x:c r="E38" s="100"/>
      <x:c r="F38" s="100"/>
      <x:c r="G38" s="100"/>
      <x:c r="H38" s="100"/>
      <x:c r="I38" s="100"/>
      <x:c r="J38" s="100"/>
      <x:c r="K38" s="100"/>
      <x:c r="L38" s="100"/>
      <x:c r="M38" s="100"/>
      <x:c r="N38" s="100"/>
      <x:c r="O38" s="100"/>
    </x:row>
    <x:row r="39" ht="28" customHeight="1">
      <x:c r="A39" s="583" t="str">
        <x:f>"风险提示："&amp;IF('月度分析'!D14&gt;=0.08,"最新月退款率达到8%以上，应优先排查渠道承诺与产品质量。",IF('月度分析'!D14&gt;=0.05,"最新月退款率需要持续观察。","最新月退款率处于可控水平。"))</x:f>
        <x:v>风险提示：最新月退款率处于可控水平。</x:v>
      </x:c>
      <x:c r="B39" s="584"/>
      <x:c r="C39" s="584"/>
      <x:c r="D39" s="584"/>
      <x:c r="E39" s="584"/>
      <x:c r="F39" s="584"/>
      <x:c r="G39" s="584"/>
      <x:c r="H39" s="584"/>
      <x:c r="I39" s="584"/>
      <x:c r="J39" s="584"/>
      <x:c r="K39" s="584"/>
      <x:c r="L39" s="584"/>
      <x:c r="M39" s="584"/>
      <x:c r="N39" s="584"/>
      <x:c r="O39" s="585"/>
    </x:row>
  </x:sheetData>
  <x:mergeCells>
    <x:mergeCell ref="A1:O1"/>
    <x:mergeCell ref="A2:O2"/>
    <x:mergeCell ref="A4:C4"/>
    <x:mergeCell ref="A5:C6"/>
    <x:mergeCell ref="D4:F4"/>
    <x:mergeCell ref="D5:F6"/>
    <x:mergeCell ref="G4:I4"/>
    <x:mergeCell ref="G5:I6"/>
    <x:mergeCell ref="J4:L4"/>
    <x:mergeCell ref="J5:L6"/>
    <x:mergeCell ref="M4:O4"/>
    <x:mergeCell ref="M5:O6"/>
    <x:mergeCell ref="A8:C8"/>
    <x:mergeCell ref="A9:C10"/>
    <x:mergeCell ref="D8:F8"/>
    <x:mergeCell ref="D9:F10"/>
    <x:mergeCell ref="G8:I8"/>
    <x:mergeCell ref="G9:I10"/>
    <x:mergeCell ref="J8:L8"/>
    <x:mergeCell ref="J9:L10"/>
    <x:mergeCell ref="M8:O8"/>
    <x:mergeCell ref="M9:O10"/>
    <x:mergeCell ref="A31:O31"/>
    <x:mergeCell ref="A33:O33"/>
    <x:mergeCell ref="A35:O35"/>
    <x:mergeCell ref="A37:O37"/>
    <x:mergeCell ref="A39:O39"/>
  </x:mergeCells>
  <x:conditionalFormatting sqref="A39:O39">
    <x:cfRule type="containsText" dxfId="3" priority="1" operator="containsText" text="可控"/>
    <x:cfRule type="containsText" dxfId="4" priority="2" operator="containsText" text="持续观察"/>
    <x:cfRule type="containsText" dxfId="5" priority="3" operator="containsText" text="优先排查"/>
  </x:conditionalFormatting>
  <x:pageMargins left="0.7" right="0.7" top="0.75" bottom="0.75" header="0.3" footer="0.3"/>
  <x:drawing xmlns:r="http://schemas.openxmlformats.org/officeDocument/2006/relationships" r:id="R0c0c803adadc472d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4" hidden="0" customWidth="1"/>
    <x:col min="4" max="4" width="34" hidden="0" customWidth="1"/>
  </x:cols>
  <x:sheetData>
    <x:row r="1" ht="36" customHeight="1">
      <x:c r="A1" s="98" t="str">
        <x:v>检查控制</x:v>
      </x:c>
      <x:c r="B1" s="98" t="str">
        <x:v>检查控制</x:v>
      </x:c>
      <x:c r="C1" s="98" t="str">
        <x:v>检查控制</x:v>
      </x:c>
      <x:c r="D1" s="98" t="str">
        <x:v>检查控制</x:v>
      </x:c>
    </x:row>
    <x:row r="2" ht="24" customHeight="1">
      <x:c r="A2" s="99" t="str">
        <x:v>只有全部检查为 PASS 时，仪表盘才可作为正式输出</x:v>
      </x:c>
      <x:c r="B2" s="99" t="str">
        <x:v>只有全部检查为 PASS 时，仪表盘才可作为正式输出</x:v>
      </x:c>
      <x:c r="C2" s="99" t="str">
        <x:v>只有全部检查为 PASS 时，仪表盘才可作为正式输出</x:v>
      </x:c>
      <x:c r="D2" s="99" t="str">
        <x:v>只有全部检查为 PASS 时，仪表盘才可作为正式输出</x:v>
      </x:c>
    </x:row>
    <x:row r="3">
      <x:c r="A3" s="100"/>
      <x:c r="B3" s="100"/>
      <x:c r="C3" s="100"/>
      <x:c r="D3" s="100"/>
    </x:row>
    <x:row r="4" ht="28" customHeight="1">
      <x:c r="A4" s="111" t="str">
        <x:v>检查项</x:v>
      </x:c>
      <x:c r="B4" s="113" t="str">
        <x:v>结果</x:v>
      </x:c>
      <x:c r="C4" s="113" t="str">
        <x:v>差额</x:v>
      </x:c>
      <x:c r="D4" s="112" t="str">
        <x:v>修复位置</x:v>
      </x:c>
    </x:row>
    <x:row r="5">
      <x:c r="A5" s="586" t="str">
        <x:v>订单行数一致</x:v>
      </x:c>
      <x:c r="B5" s="587" t="str">
        <x:f>IF(COUNTA('原始订单'!$B$5:$B$229)=COUNTA('数据处理'!$C$5:$C$229),"PASS","FAIL")</x:f>
        <x:v>PASS</x:v>
      </x:c>
      <x:c r="C5" s="588" t="n">
        <x:f>COUNTA('原始订单'!$B$5:$B$229)-COUNTA('数据处理'!$C$5:$C$229)</x:f>
        <x:v>0</x:v>
      </x:c>
      <x:c r="D5" s="586" t="str">
        <x:v>原始订单 / 数据处理</x:v>
      </x:c>
    </x:row>
    <x:row r="6">
      <x:c r="A6" s="589" t="str">
        <x:v>净销售额对账</x:v>
      </x:c>
      <x:c r="B6" s="590" t="str">
        <x:f>IF(ABS(SUM('数据处理'!$O$5:$O$229)-'月度分析'!$E$6)&lt;0.01,"PASS","FAIL")</x:f>
        <x:v>PASS</x:v>
      </x:c>
      <x:c r="C6" s="591" t="n">
        <x:f>SUM('数据处理'!$O$5:$O$229)-'月度分析'!$E$6</x:f>
        <x:v>-4.3655745685100555e-11</x:v>
      </x:c>
      <x:c r="D6" s="589" t="str">
        <x:v>数据处理 O列 / 月度分析 E6</x:v>
      </x:c>
    </x:row>
    <x:row r="7">
      <x:c r="A7" s="589" t="str">
        <x:v>毛利润对账</x:v>
      </x:c>
      <x:c r="B7" s="590" t="str">
        <x:f>IF(ABS(SUM('数据处理'!$Q$5:$Q$229)-'月度分析'!$E$9)&lt;0.01,"PASS","FAIL")</x:f>
        <x:v>PASS</x:v>
      </x:c>
      <x:c r="C7" s="591" t="n">
        <x:f>SUM('数据处理'!$Q$5:$Q$229)-'月度分析'!$E$9</x:f>
        <x:v>-3.637978807091713e-11</x:v>
      </x:c>
      <x:c r="D7" s="589" t="str">
        <x:v>数据处理 Q列 / 月度分析 E9</x:v>
      </x:c>
    </x:row>
    <x:row r="8">
      <x:c r="A8" s="589" t="str">
        <x:v>广告投入对账</x:v>
      </x:c>
      <x:c r="B8" s="590" t="str">
        <x:f>IF(ABS(SUM('广告投入'!$C$5:$C$16)-'月度分析'!$E$11)&lt;0.01,"PASS","FAIL")</x:f>
        <x:v>PASS</x:v>
      </x:c>
      <x:c r="C8" s="591" t="n">
        <x:f>SUM('广告投入'!$C$5:$C$16)-'月度分析'!$E$11</x:f>
        <x:v>0</x:v>
      </x:c>
      <x:c r="D8" s="589" t="str">
        <x:v>广告投入 C列 / 月度分析 E11</x:v>
      </x:c>
    </x:row>
    <x:row r="9">
      <x:c r="A9" s="589" t="str">
        <x:v>仪表盘净销售额一致</x:v>
      </x:c>
      <x:c r="B9" s="590" t="str">
        <x:f>IF(ABS('经营仪表盘'!$A$5-'月度分析'!$E$6)&lt;0.01,"PASS","FAIL")</x:f>
        <x:v>PASS</x:v>
      </x:c>
      <x:c r="C9" s="591" t="n">
        <x:f>'经营仪表盘'!$A$5-'月度分析'!$E$6</x:f>
        <x:v>0</x:v>
      </x:c>
      <x:c r="D9" s="589" t="str">
        <x:v>经营仪表盘 A5 / 月度分析 E6</x:v>
      </x:c>
    </x:row>
    <x:row r="10">
      <x:c r="A10" s="592" t="str">
        <x:v>月度订单数覆盖全部订单</x:v>
      </x:c>
      <x:c r="B10" s="593" t="str">
        <x:f>IF(SUM('月度分析'!$B$7:$D$7)+SUM('数据处理'!$J$5:$J$229)=COUNTA('原始订单'!$B$5:$B$229),"PASS","FAIL")</x:f>
        <x:v>PASS</x:v>
      </x:c>
      <x:c r="C10" s="594" t="n">
        <x:f>SUM('月度分析'!$B$7:$D$7)+SUM('数据处理'!$J$5:$J$229)-COUNTA('原始订单'!$B$5:$B$229)</x:f>
        <x:v>0</x:v>
      </x:c>
      <x:c r="D10" s="592" t="str">
        <x:v>月度分析 订单数 / 原始订单</x:v>
      </x:c>
    </x:row>
    <x:row r="11">
      <x:c r="A11" s="100"/>
      <x:c r="B11" s="100"/>
      <x:c r="C11" s="100"/>
      <x:c r="D11" s="100"/>
    </x:row>
    <x:row r="12">
      <x:c r="A12" s="595" t="str">
        <x:f>IF(COUNTIF(B5:B10,"FAIL")=0,"MODEL STATUS: PASS","MODEL STATUS: FAIL")</x:f>
        <x:v>MODEL STATUS: PASS</x:v>
      </x:c>
      <x:c r="B12" s="596"/>
      <x:c r="C12" s="596"/>
      <x:c r="D12" s="597"/>
    </x:row>
  </x:sheetData>
  <x:mergeCells>
    <x:mergeCell ref="A1:D1"/>
    <x:mergeCell ref="A2:D2"/>
    <x:mergeCell ref="A12:D12"/>
  </x:mergeCells>
  <x:conditionalFormatting sqref="B5:B10">
    <x:cfRule type="containsText" dxfId="6" priority="1" operator="containsText" text="PASS"/>
    <x:cfRule type="containsText" dxfId="7" priority="2" operator="containsText" text="FAIL"/>
  </x:conditionalFormatting>
  <x:pageMargins left="0.7" right="0.7" top="0.75" bottom="0.75" header="0.3" footer="0.3"/>
</x:worksheet>
</file>